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enn/Desktop/BatchFlow_test/"/>
    </mc:Choice>
  </mc:AlternateContent>
  <xr:revisionPtr revIDLastSave="0" documentId="13_ncr:1_{02ED843A-5E13-1341-9185-88857065B3D8}" xr6:coauthVersionLast="47" xr6:coauthVersionMax="47" xr10:uidLastSave="{00000000-0000-0000-0000-000000000000}"/>
  <bookViews>
    <workbookView xWindow="0" yWindow="760" windowWidth="30240" windowHeight="18880" xr2:uid="{E3684345-D9C3-D646-B281-A1AAB380EA1C}"/>
  </bookViews>
  <sheets>
    <sheet name="BatchFlow_free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2" i="1" l="1"/>
  <c r="AA21" i="1"/>
  <c r="R20" i="1"/>
  <c r="S20" i="1" s="1"/>
  <c r="T20" i="1" s="1"/>
  <c r="R19" i="1"/>
  <c r="R18" i="1"/>
  <c r="S18" i="1" s="1"/>
  <c r="T18" i="1" s="1"/>
  <c r="Q20" i="1"/>
  <c r="Q19" i="1"/>
  <c r="Q18" i="1"/>
  <c r="AC25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3" i="1"/>
  <c r="AB21" i="1"/>
  <c r="AC21" i="1" s="1"/>
  <c r="AD21" i="1" s="1"/>
  <c r="AD25" i="1" s="1"/>
  <c r="AB22" i="1"/>
  <c r="AC22" i="1" s="1"/>
  <c r="AD22" i="1" s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3" i="1"/>
  <c r="AO4" i="1"/>
  <c r="AO9" i="1"/>
  <c r="AO10" i="1"/>
  <c r="AO11" i="1"/>
  <c r="AO12" i="1"/>
  <c r="AO23" i="1"/>
  <c r="AO24" i="1"/>
  <c r="AO25" i="1"/>
  <c r="AO26" i="1"/>
  <c r="AO31" i="1"/>
  <c r="AO35" i="1"/>
  <c r="AO36" i="1"/>
  <c r="AO37" i="1"/>
  <c r="AO38" i="1"/>
  <c r="AO39" i="1"/>
  <c r="AO40" i="1"/>
  <c r="AO3" i="1"/>
  <c r="AN4" i="1"/>
  <c r="AN5" i="1"/>
  <c r="AN10" i="1"/>
  <c r="AN11" i="1"/>
  <c r="AN12" i="1"/>
  <c r="AN13" i="1"/>
  <c r="AN14" i="1"/>
  <c r="AN15" i="1"/>
  <c r="AN16" i="1"/>
  <c r="AN17" i="1"/>
  <c r="AN18" i="1"/>
  <c r="AN19" i="1"/>
  <c r="AN24" i="1"/>
  <c r="AN25" i="1"/>
  <c r="AN26" i="1"/>
  <c r="AN27" i="1"/>
  <c r="AN28" i="1"/>
  <c r="AN29" i="1"/>
  <c r="AN30" i="1"/>
  <c r="AN31" i="1"/>
  <c r="AN32" i="1"/>
  <c r="AN33" i="1"/>
  <c r="AN35" i="1"/>
  <c r="AN37" i="1"/>
  <c r="AN38" i="1"/>
  <c r="AN39" i="1"/>
  <c r="AN40" i="1"/>
  <c r="AN42" i="1"/>
  <c r="AN43" i="1"/>
  <c r="AN44" i="1"/>
  <c r="AN45" i="1"/>
  <c r="AN46" i="1"/>
  <c r="AN47" i="1"/>
  <c r="AI43" i="1"/>
  <c r="AO43" i="1" s="1"/>
  <c r="AI44" i="1"/>
  <c r="AO44" i="1" s="1"/>
  <c r="AI45" i="1"/>
  <c r="AO45" i="1" s="1"/>
  <c r="AI46" i="1"/>
  <c r="AO46" i="1" s="1"/>
  <c r="AI47" i="1"/>
  <c r="AO47" i="1" s="1"/>
  <c r="AI48" i="1"/>
  <c r="AN48" i="1" s="1"/>
  <c r="AI49" i="1"/>
  <c r="AN49" i="1" s="1"/>
  <c r="AI50" i="1"/>
  <c r="AO50" i="1" s="1"/>
  <c r="AI51" i="1"/>
  <c r="AO51" i="1" s="1"/>
  <c r="AI35" i="1"/>
  <c r="AI36" i="1"/>
  <c r="AN36" i="1" s="1"/>
  <c r="AI37" i="1"/>
  <c r="AI38" i="1"/>
  <c r="AI39" i="1"/>
  <c r="AI40" i="1"/>
  <c r="AI41" i="1"/>
  <c r="AO41" i="1" s="1"/>
  <c r="AI42" i="1"/>
  <c r="AO42" i="1" s="1"/>
  <c r="AI3" i="1"/>
  <c r="AI4" i="1"/>
  <c r="AI5" i="1"/>
  <c r="AO5" i="1" s="1"/>
  <c r="AI6" i="1"/>
  <c r="AN6" i="1" s="1"/>
  <c r="AI7" i="1"/>
  <c r="AN7" i="1" s="1"/>
  <c r="AI8" i="1"/>
  <c r="AN8" i="1" s="1"/>
  <c r="AI9" i="1"/>
  <c r="AN9" i="1" s="1"/>
  <c r="AI10" i="1"/>
  <c r="AI11" i="1"/>
  <c r="AI12" i="1"/>
  <c r="AI13" i="1"/>
  <c r="AO13" i="1" s="1"/>
  <c r="AI14" i="1"/>
  <c r="AO14" i="1" s="1"/>
  <c r="AI15" i="1"/>
  <c r="AO15" i="1" s="1"/>
  <c r="AI16" i="1"/>
  <c r="AO16" i="1" s="1"/>
  <c r="AI17" i="1"/>
  <c r="AO17" i="1" s="1"/>
  <c r="AI18" i="1"/>
  <c r="AO18" i="1" s="1"/>
  <c r="AI19" i="1"/>
  <c r="AO19" i="1" s="1"/>
  <c r="AI20" i="1"/>
  <c r="AN20" i="1" s="1"/>
  <c r="AI21" i="1"/>
  <c r="AO21" i="1" s="1"/>
  <c r="AI22" i="1"/>
  <c r="AN22" i="1" s="1"/>
  <c r="AI23" i="1"/>
  <c r="AN23" i="1" s="1"/>
  <c r="AI24" i="1"/>
  <c r="AI25" i="1"/>
  <c r="AI26" i="1"/>
  <c r="AI27" i="1"/>
  <c r="AO27" i="1" s="1"/>
  <c r="AI28" i="1"/>
  <c r="AO28" i="1" s="1"/>
  <c r="AI29" i="1"/>
  <c r="AO29" i="1" s="1"/>
  <c r="AI30" i="1"/>
  <c r="AO30" i="1" s="1"/>
  <c r="AI31" i="1"/>
  <c r="AI32" i="1"/>
  <c r="AO32" i="1" s="1"/>
  <c r="AI33" i="1"/>
  <c r="AO33" i="1" s="1"/>
  <c r="AI34" i="1"/>
  <c r="AN34" i="1" s="1"/>
  <c r="F4" i="1"/>
  <c r="M4" i="1" s="1"/>
  <c r="F5" i="1"/>
  <c r="L5" i="1" s="1"/>
  <c r="F6" i="1"/>
  <c r="L6" i="1" s="1"/>
  <c r="F7" i="1"/>
  <c r="L7" i="1" s="1"/>
  <c r="F8" i="1"/>
  <c r="M8" i="1" s="1"/>
  <c r="F9" i="1"/>
  <c r="L9" i="1" s="1"/>
  <c r="F10" i="1"/>
  <c r="L10" i="1" s="1"/>
  <c r="F11" i="1"/>
  <c r="L11" i="1" s="1"/>
  <c r="F12" i="1"/>
  <c r="L12" i="1" s="1"/>
  <c r="F13" i="1"/>
  <c r="L13" i="1" s="1"/>
  <c r="F14" i="1"/>
  <c r="L14" i="1" s="1"/>
  <c r="F15" i="1"/>
  <c r="M15" i="1" s="1"/>
  <c r="F16" i="1"/>
  <c r="L16" i="1" s="1"/>
  <c r="F17" i="1"/>
  <c r="M17" i="1" s="1"/>
  <c r="F18" i="1"/>
  <c r="L18" i="1" s="1"/>
  <c r="F19" i="1"/>
  <c r="M19" i="1" s="1"/>
  <c r="F20" i="1"/>
  <c r="M20" i="1" s="1"/>
  <c r="F21" i="1"/>
  <c r="M21" i="1" s="1"/>
  <c r="F22" i="1"/>
  <c r="M22" i="1" s="1"/>
  <c r="F23" i="1"/>
  <c r="L23" i="1" s="1"/>
  <c r="F24" i="1"/>
  <c r="L24" i="1" s="1"/>
  <c r="F25" i="1"/>
  <c r="L25" i="1" s="1"/>
  <c r="F26" i="1"/>
  <c r="L26" i="1" s="1"/>
  <c r="F27" i="1"/>
  <c r="L27" i="1" s="1"/>
  <c r="F28" i="1"/>
  <c r="L28" i="1" s="1"/>
  <c r="F29" i="1"/>
  <c r="M29" i="1" s="1"/>
  <c r="F30" i="1"/>
  <c r="M30" i="1" s="1"/>
  <c r="F31" i="1"/>
  <c r="L31" i="1" s="1"/>
  <c r="F32" i="1"/>
  <c r="L32" i="1" s="1"/>
  <c r="F33" i="1"/>
  <c r="L33" i="1" s="1"/>
  <c r="F3" i="1"/>
  <c r="L3" i="1" s="1"/>
  <c r="H34" i="1"/>
  <c r="E35" i="1" s="1"/>
  <c r="F35" i="1" s="1"/>
  <c r="L35" i="1" s="1"/>
  <c r="AN41" i="1" l="1"/>
  <c r="AO48" i="1"/>
  <c r="AO34" i="1"/>
  <c r="AO20" i="1"/>
  <c r="AO6" i="1"/>
  <c r="AO22" i="1"/>
  <c r="AO49" i="1"/>
  <c r="AN3" i="1"/>
  <c r="AN51" i="1"/>
  <c r="AO8" i="1"/>
  <c r="AO7" i="1"/>
  <c r="AN50" i="1"/>
  <c r="AN21" i="1"/>
  <c r="M3" i="1"/>
  <c r="M33" i="1"/>
  <c r="M31" i="1"/>
  <c r="L4" i="1"/>
  <c r="M35" i="1"/>
  <c r="M32" i="1"/>
  <c r="M18" i="1"/>
  <c r="L21" i="1"/>
  <c r="M6" i="1"/>
  <c r="L20" i="1"/>
  <c r="L19" i="1"/>
  <c r="L22" i="1"/>
  <c r="M28" i="1"/>
  <c r="M26" i="1"/>
  <c r="M25" i="1"/>
  <c r="L8" i="1"/>
  <c r="M5" i="1"/>
  <c r="M10" i="1"/>
  <c r="M9" i="1"/>
  <c r="L17" i="1"/>
  <c r="M24" i="1"/>
  <c r="M7" i="1"/>
  <c r="M23" i="1"/>
  <c r="M14" i="1"/>
  <c r="M13" i="1"/>
  <c r="M12" i="1"/>
  <c r="M11" i="1"/>
  <c r="M27" i="1"/>
  <c r="L29" i="1"/>
  <c r="L30" i="1"/>
  <c r="L15" i="1"/>
  <c r="M16" i="1"/>
  <c r="E55" i="1"/>
  <c r="F55" i="1" s="1"/>
  <c r="E72" i="1"/>
  <c r="F72" i="1" s="1"/>
  <c r="E71" i="1"/>
  <c r="F71" i="1" s="1"/>
  <c r="E88" i="1"/>
  <c r="F88" i="1" s="1"/>
  <c r="E47" i="1"/>
  <c r="F47" i="1" s="1"/>
  <c r="E68" i="1"/>
  <c r="F68" i="1" s="1"/>
  <c r="E85" i="1"/>
  <c r="F85" i="1" s="1"/>
  <c r="E62" i="1"/>
  <c r="F62" i="1" s="1"/>
  <c r="E60" i="1"/>
  <c r="F60" i="1" s="1"/>
  <c r="E42" i="1"/>
  <c r="F42" i="1" s="1"/>
  <c r="E56" i="1"/>
  <c r="F56" i="1" s="1"/>
  <c r="E73" i="1"/>
  <c r="F73" i="1" s="1"/>
  <c r="E90" i="1"/>
  <c r="F90" i="1" s="1"/>
  <c r="E53" i="1"/>
  <c r="F53" i="1" s="1"/>
  <c r="E45" i="1"/>
  <c r="F45" i="1" s="1"/>
  <c r="E81" i="1"/>
  <c r="F81" i="1" s="1"/>
  <c r="E41" i="1"/>
  <c r="F41" i="1" s="1"/>
  <c r="E74" i="1"/>
  <c r="F74" i="1" s="1"/>
  <c r="E54" i="1"/>
  <c r="F54" i="1" s="1"/>
  <c r="E89" i="1"/>
  <c r="F89" i="1" s="1"/>
  <c r="E48" i="1"/>
  <c r="F48" i="1" s="1"/>
  <c r="E87" i="1"/>
  <c r="F87" i="1" s="1"/>
  <c r="E86" i="1"/>
  <c r="F86" i="1" s="1"/>
  <c r="E67" i="1"/>
  <c r="F67" i="1" s="1"/>
  <c r="E40" i="1"/>
  <c r="F40" i="1" s="1"/>
  <c r="E70" i="1"/>
  <c r="F70" i="1" s="1"/>
  <c r="E69" i="1"/>
  <c r="F69" i="1" s="1"/>
  <c r="E46" i="1"/>
  <c r="F46" i="1" s="1"/>
  <c r="E84" i="1"/>
  <c r="F84" i="1" s="1"/>
  <c r="E44" i="1"/>
  <c r="F44" i="1" s="1"/>
  <c r="E83" i="1"/>
  <c r="F83" i="1" s="1"/>
  <c r="E61" i="1"/>
  <c r="F61" i="1" s="1"/>
  <c r="E43" i="1"/>
  <c r="F43" i="1" s="1"/>
  <c r="E82" i="1"/>
  <c r="F82" i="1" s="1"/>
  <c r="E59" i="1"/>
  <c r="F59" i="1" s="1"/>
  <c r="E76" i="1"/>
  <c r="F76" i="1" s="1"/>
  <c r="E58" i="1"/>
  <c r="F58" i="1" s="1"/>
  <c r="E75" i="1"/>
  <c r="F75" i="1" s="1"/>
  <c r="E57" i="1"/>
  <c r="F57" i="1" s="1"/>
  <c r="E39" i="1"/>
  <c r="F39" i="1" s="1"/>
  <c r="E38" i="1"/>
  <c r="F38" i="1" s="1"/>
  <c r="E37" i="1"/>
  <c r="F37" i="1" s="1"/>
  <c r="E66" i="1"/>
  <c r="F66" i="1" s="1"/>
  <c r="E34" i="1"/>
  <c r="F34" i="1" s="1"/>
  <c r="E65" i="1"/>
  <c r="F65" i="1" s="1"/>
  <c r="E51" i="1"/>
  <c r="F51" i="1" s="1"/>
  <c r="E92" i="1"/>
  <c r="F92" i="1" s="1"/>
  <c r="E78" i="1"/>
  <c r="F78" i="1" s="1"/>
  <c r="E64" i="1"/>
  <c r="F64" i="1" s="1"/>
  <c r="E50" i="1"/>
  <c r="F50" i="1" s="1"/>
  <c r="E36" i="1"/>
  <c r="F36" i="1" s="1"/>
  <c r="E80" i="1"/>
  <c r="F80" i="1" s="1"/>
  <c r="E52" i="1"/>
  <c r="F52" i="1" s="1"/>
  <c r="E79" i="1"/>
  <c r="F79" i="1" s="1"/>
  <c r="E91" i="1"/>
  <c r="F91" i="1" s="1"/>
  <c r="E77" i="1"/>
  <c r="F77" i="1" s="1"/>
  <c r="E63" i="1"/>
  <c r="F63" i="1" s="1"/>
  <c r="E49" i="1"/>
  <c r="F49" i="1" s="1"/>
  <c r="S19" i="1" l="1"/>
  <c r="T19" i="1" s="1"/>
  <c r="W18" i="1" s="1"/>
  <c r="V18" i="1"/>
  <c r="L50" i="1"/>
  <c r="M50" i="1"/>
  <c r="M64" i="1"/>
  <c r="L64" i="1"/>
  <c r="M43" i="1"/>
  <c r="L43" i="1"/>
  <c r="L62" i="1"/>
  <c r="M62" i="1"/>
  <c r="M85" i="1"/>
  <c r="L85" i="1"/>
  <c r="L78" i="1"/>
  <c r="M78" i="1"/>
  <c r="L82" i="1"/>
  <c r="M82" i="1"/>
  <c r="L92" i="1"/>
  <c r="M92" i="1"/>
  <c r="M47" i="1"/>
  <c r="L47" i="1"/>
  <c r="M74" i="1"/>
  <c r="L74" i="1"/>
  <c r="L65" i="1"/>
  <c r="M65" i="1"/>
  <c r="L41" i="1"/>
  <c r="M41" i="1"/>
  <c r="L49" i="1"/>
  <c r="M49" i="1"/>
  <c r="M44" i="1"/>
  <c r="L44" i="1"/>
  <c r="M72" i="1"/>
  <c r="L72" i="1"/>
  <c r="L66" i="1"/>
  <c r="M66" i="1"/>
  <c r="L55" i="1"/>
  <c r="M55" i="1"/>
  <c r="M46" i="1"/>
  <c r="L46" i="1"/>
  <c r="M91" i="1"/>
  <c r="L91" i="1"/>
  <c r="M69" i="1"/>
  <c r="L69" i="1"/>
  <c r="M90" i="1"/>
  <c r="L90" i="1"/>
  <c r="L40" i="1"/>
  <c r="M40" i="1"/>
  <c r="M87" i="1"/>
  <c r="L87" i="1"/>
  <c r="M48" i="1"/>
  <c r="L48" i="1"/>
  <c r="L68" i="1"/>
  <c r="M68" i="1"/>
  <c r="L54" i="1"/>
  <c r="M54" i="1"/>
  <c r="L61" i="1"/>
  <c r="M61" i="1"/>
  <c r="L83" i="1"/>
  <c r="M83" i="1"/>
  <c r="M71" i="1"/>
  <c r="L71" i="1"/>
  <c r="M34" i="1"/>
  <c r="L34" i="1"/>
  <c r="M81" i="1"/>
  <c r="L81" i="1"/>
  <c r="L63" i="1"/>
  <c r="M63" i="1"/>
  <c r="M84" i="1"/>
  <c r="L84" i="1"/>
  <c r="M45" i="1"/>
  <c r="L45" i="1"/>
  <c r="M77" i="1"/>
  <c r="L77" i="1"/>
  <c r="L37" i="1"/>
  <c r="M37" i="1"/>
  <c r="M53" i="1"/>
  <c r="L53" i="1"/>
  <c r="L79" i="1"/>
  <c r="M79" i="1"/>
  <c r="M39" i="1"/>
  <c r="L39" i="1"/>
  <c r="M70" i="1"/>
  <c r="L70" i="1"/>
  <c r="M73" i="1"/>
  <c r="L73" i="1"/>
  <c r="L52" i="1"/>
  <c r="M52" i="1"/>
  <c r="M57" i="1"/>
  <c r="L57" i="1"/>
  <c r="L56" i="1"/>
  <c r="M56" i="1"/>
  <c r="M80" i="1"/>
  <c r="L80" i="1"/>
  <c r="L75" i="1"/>
  <c r="M75" i="1"/>
  <c r="L67" i="1"/>
  <c r="M67" i="1"/>
  <c r="L42" i="1"/>
  <c r="M42" i="1"/>
  <c r="M76" i="1"/>
  <c r="L76" i="1"/>
  <c r="L59" i="1"/>
  <c r="M59" i="1"/>
  <c r="L89" i="1"/>
  <c r="M89" i="1"/>
  <c r="L51" i="1"/>
  <c r="M51" i="1"/>
  <c r="L88" i="1"/>
  <c r="M88" i="1"/>
  <c r="L38" i="1"/>
  <c r="M38" i="1"/>
  <c r="M36" i="1"/>
  <c r="L36" i="1"/>
  <c r="M58" i="1"/>
  <c r="L58" i="1"/>
  <c r="L86" i="1"/>
  <c r="M86" i="1"/>
  <c r="M60" i="1"/>
  <c r="L60" i="1"/>
</calcChain>
</file>

<file path=xl/sharedStrings.xml><?xml version="1.0" encoding="utf-8"?>
<sst xmlns="http://schemas.openxmlformats.org/spreadsheetml/2006/main" count="268" uniqueCount="87">
  <si>
    <t>End Method Modifications</t>
  </si>
  <si>
    <t>Saved as C:\Users\Public\Documents\Agilent\Cary WinUV\Glenn\tsrta_3.BKN</t>
  </si>
  <si>
    <t xml:space="preserve"> Old:1.0000</t>
  </si>
  <si>
    <t>Common SAT Changed: 04-Jun-25 2:53:21 PM</t>
  </si>
  <si>
    <t>Saved as C:\Users\Public\Documents\Agilent\Cary WinUV\Glenn\tsrta_2.BKNUVVIS SAT Changed: 04-Jun-25 2:53:21 PM</t>
  </si>
  <si>
    <t xml:space="preserve"> Old:0.5000</t>
  </si>
  <si>
    <t>Common SAT Changed: 04-Jun-25 2:50:49 PM</t>
  </si>
  <si>
    <t>Saved as C:\Users\Public\Documents\Agilent\Cary WinUV\Glenn\tsrta_2.BKNUVVIS SAT Changed: 04-Jun-25 2:50:49 PM</t>
  </si>
  <si>
    <t xml:space="preserve"> Old:0.1000</t>
  </si>
  <si>
    <t>Common SAT Changed: 04-Jun-25 2:50:14 PM</t>
  </si>
  <si>
    <t>Saved as C:\Users\Public\Documents\Agilent\Cary WinUV\Glenn\tsrta_01.BKNSaved as C:\Users\Public\Documents\Agilent\Cary WinUV\Glenn\tsrta_02.BKNSaved as C:\Users\Public\Documents\Agilent\Cary WinUV\Glenn\tsrta_01.BKNSaved as C:\Users\Public\Documents\Agilent\Cary WinUV\Glenn\tsrta_01.BKNUVVIS SAT Changed: 04-Jun-25 2:50:14 PM</t>
  </si>
  <si>
    <t xml:space="preserve"> Old:     1.00</t>
  </si>
  <si>
    <t>Stop Time 1 Changed: 04-Jun-25 11:53:03 AM</t>
  </si>
  <si>
    <t xml:space="preserve"> Old:  500.0</t>
  </si>
  <si>
    <t>Read WL1 Changed: 04-Jun-25 11:53:03 AM</t>
  </si>
  <si>
    <t>Method Modifications:</t>
  </si>
  <si>
    <t>Date/Time stamp: 04-Jun-25 11:52:24 AM</t>
  </si>
  <si>
    <t>Method Name    :</t>
  </si>
  <si>
    <t>Method Log     :</t>
  </si>
  <si>
    <t>Display Options  Individual Data</t>
  </si>
  <si>
    <t>Number of Samples  1</t>
  </si>
  <si>
    <t>Stop Time(min)  5.00</t>
  </si>
  <si>
    <t>Cycle Time(min)  0.00</t>
  </si>
  <si>
    <t>Ave Time (sec)  2.0005</t>
  </si>
  <si>
    <t>Ordinate mode  Abs</t>
  </si>
  <si>
    <t>Wavelength (nm)  245.0</t>
  </si>
  <si>
    <t>Instrument version  2.00</t>
  </si>
  <si>
    <t>Instrument  Cary 60</t>
  </si>
  <si>
    <t>Parameter List :</t>
  </si>
  <si>
    <t>Kinetics Version 5.1.3.1042</t>
  </si>
  <si>
    <t>Operator Name  :</t>
  </si>
  <si>
    <t>Collection Time: 04-Jun-25 2:56:29 PM</t>
  </si>
  <si>
    <t>Sample 1</t>
  </si>
  <si>
    <t>Abs</t>
  </si>
  <si>
    <t>Time (min)</t>
  </si>
  <si>
    <t>Collection Time: 04-Jun-25 3:04:02 PM</t>
  </si>
  <si>
    <t>Operator Name  :</t>
  </si>
  <si>
    <t>Instrument  Cary 60</t>
  </si>
  <si>
    <t>Instrument version  2.00</t>
  </si>
  <si>
    <t>Wavelength (nm)  245.0</t>
  </si>
  <si>
    <t>Ordinate mode  Abs</t>
  </si>
  <si>
    <t>Ave Time (sec)  2.0005</t>
  </si>
  <si>
    <t>Cycle Time(min)  0.00</t>
  </si>
  <si>
    <t>Stop Time(min)  5.00</t>
  </si>
  <si>
    <t>Number of Samples  1</t>
  </si>
  <si>
    <t>Display Options  Individual Data</t>
  </si>
  <si>
    <t>Method Log     :</t>
  </si>
  <si>
    <t>Method Name    :</t>
  </si>
  <si>
    <t> Old:  500.0</t>
  </si>
  <si>
    <t> New:  245.0</t>
  </si>
  <si>
    <t> Old:     1.00</t>
  </si>
  <si>
    <t> New:     5.00</t>
  </si>
  <si>
    <t> Old:0.1000</t>
  </si>
  <si>
    <t> New:0.5000</t>
  </si>
  <si>
    <t> Old:0.5000</t>
  </si>
  <si>
    <t> New:1.0000</t>
  </si>
  <si>
    <t> Old:1.0000</t>
  </si>
  <si>
    <t> New:2.0000</t>
  </si>
  <si>
    <t>Saved as C:\Users\Public\Documents\Agilent\Cary WinUV\Glenn\tsrta_3.BKNSaved as C:\Users\Public\Documents\Agilent\Cary WinUV\Glenn\tsrta_clean01.BKNSaved as C:\Users\Public\Documents\Agilent\Cary WinUV\Glenn\tsrta_clean02.BKN</t>
  </si>
  <si>
    <t>Collection Time: 04-Jun-25 3:13:24 PM</t>
  </si>
  <si>
    <t>Saved as C:\Users\Public\Documents\Agilent\Cary WinUV\Glenn\tsrta_3.BKNSaved as C:\Users\Public\Documents\Agilent\Cary WinUV\Glenn\tsrta_clean01.BKNSaved as C:\Users\Public\Documents\Agilent\Cary WinUV\Glenn\tsrta_clean02.BKNSaved as C:\Users\Public\Documents\Agilent\Cary WinUV\Glenn\tsrta_clean03.BKN</t>
  </si>
  <si>
    <t>&lt;Current Wavelength&gt; </t>
  </si>
  <si>
    <t>&lt;Cycle Count&gt; </t>
  </si>
  <si>
    <t>slope (abs/min)</t>
  </si>
  <si>
    <t>Sample 3</t>
  </si>
  <si>
    <t>sample 2</t>
  </si>
  <si>
    <r>
      <t>ACP at 245 nm (ε = 12.6 mM</t>
    </r>
    <r>
      <rPr>
        <sz val="12"/>
        <color rgb="FF151515"/>
        <rFont val="Arial"/>
        <family val="2"/>
      </rPr>
      <t>–1</t>
    </r>
    <r>
      <rPr>
        <sz val="16"/>
        <color rgb="FF151515"/>
        <rFont val="Arial"/>
        <family val="2"/>
      </rPr>
      <t> cm</t>
    </r>
    <r>
      <rPr>
        <sz val="12"/>
        <color rgb="FF151515"/>
        <rFont val="Arial"/>
        <family val="2"/>
      </rPr>
      <t>–1</t>
    </r>
    <r>
      <rPr>
        <sz val="16"/>
        <color rgb="FF151515"/>
        <rFont val="Arial"/>
        <family val="2"/>
      </rPr>
      <t>)</t>
    </r>
  </si>
  <si>
    <t>mM/cm</t>
  </si>
  <si>
    <t>µM/min</t>
  </si>
  <si>
    <t>μmol/min</t>
  </si>
  <si>
    <t>U/mg</t>
  </si>
  <si>
    <t>stdev</t>
  </si>
  <si>
    <t>Collection Time: 04-Jun-25 3:57:21 PM</t>
  </si>
  <si>
    <t>Saved as C:\Users\Public\Documents\Agilent\Cary WinUV\Glenn\tsrta_3.BKNSaved as C:\Users\Public\Documents\Agilent\Cary WinUV\Glenn\tsrta_clean01.BKNSaved as C:\Users\Public\Documents\Agilent\Cary WinUV\Glenn\tsrta_clean02.BKNSaved as C:\Users\Public\Documents\Agilent\Cary WinUV\Glenn\tsrta_clean03.BKNSaved as C:\Users\Public\Documents\Agilent\Cary WinUV\Glenn\tsrta_free.BKNSaved as C:\Users\Public\Documents\Agilent\Cary WinUV\Glenn\tsrta_free01.BKN</t>
  </si>
  <si>
    <t>L</t>
  </si>
  <si>
    <t>mg/mL</t>
  </si>
  <si>
    <t>Collection Time: 04-Jun-25 6:01:32 PM</t>
  </si>
  <si>
    <t>Ave Time (sec)  1.0005</t>
  </si>
  <si>
    <t>Stop Time(min)  2.00</t>
  </si>
  <si>
    <t>Date/Time stamp: 04-Jun-25 5:59:44 PM</t>
  </si>
  <si>
    <t>UVVIS SAT Changed: 04-Jun-25 5:59:58 PM</t>
  </si>
  <si>
    <t>Common SAT Changed: 04-Jun-25 5:59:58 PM</t>
  </si>
  <si>
    <t>Read WL1 Changed: 04-Jun-25 6:00:03 PM</t>
  </si>
  <si>
    <t>Stop Time 1 Changed: 04-Jun-25 6:00:14 PM</t>
  </si>
  <si>
    <t>Saved as C:\Users\Public\Documents\Agilent\Cary WinUV\Glenn\tsrta_free03.BKNSaved as C:\Users\Public\Documents\Agilent\Cary WinUV\Glenn\tsrta_free4.BKN</t>
  </si>
  <si>
    <t>Collection Time: 04-Jun-25 6:04:03 PM</t>
  </si>
  <si>
    <t>Saved as C:\Users\Public\Documents\Agilent\Cary WinUV\Glenn\tsrta_free03.BKNSaved as C:\Users\Public\Documents\Agilent\Cary WinUV\Glenn\tsrta_free4.BKNSaved as C:\Users\Public\Documents\Agilent\Cary WinUV\Glenn\tsrta_free04.BKNSaved as C:\Users\Public\Documents\Agilent\Cary WinUV\Glenn\tsrta_free05.BKN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</si>
</sst>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6"/>
      <color rgb="FF151515"/>
      <name val="Arial"/>
      <family val="2"/>
    </font>
    <font>
      <sz val="12"/>
      <color rgb="FF151515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0" xfId="0" applyFont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006810621472546"/>
          <c:y val="0.11339989381255369"/>
          <c:w val="0.75104441988242265"/>
          <c:h val="0.65057047610556007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BatchFlow_free!$A$1:$A$106</c:f>
              <c:strCache>
                <c:ptCount val="106"/>
                <c:pt idx="0">
                  <c:v>Sample 1</c:v>
                </c:pt>
                <c:pt idx="1">
                  <c:v>Time (min)</c:v>
                </c:pt>
                <c:pt idx="2">
                  <c:v>0.016666668</c:v>
                </c:pt>
                <c:pt idx="3">
                  <c:v>0.050000001</c:v>
                </c:pt>
                <c:pt idx="4">
                  <c:v>0.083333336</c:v>
                </c:pt>
                <c:pt idx="5">
                  <c:v>0.116666667</c:v>
                </c:pt>
                <c:pt idx="6">
                  <c:v>0.150000006</c:v>
                </c:pt>
                <c:pt idx="7">
                  <c:v>0.183333337</c:v>
                </c:pt>
                <c:pt idx="8">
                  <c:v>0.216666669</c:v>
                </c:pt>
                <c:pt idx="9">
                  <c:v>0.25</c:v>
                </c:pt>
                <c:pt idx="10">
                  <c:v>0.283333361</c:v>
                </c:pt>
                <c:pt idx="11">
                  <c:v>0.316666693</c:v>
                </c:pt>
                <c:pt idx="12">
                  <c:v>0.350000024</c:v>
                </c:pt>
                <c:pt idx="13">
                  <c:v>0.383333355</c:v>
                </c:pt>
                <c:pt idx="14">
                  <c:v>0.416666687</c:v>
                </c:pt>
                <c:pt idx="15">
                  <c:v>0.450000018</c:v>
                </c:pt>
                <c:pt idx="16">
                  <c:v>0.483333349</c:v>
                </c:pt>
                <c:pt idx="17">
                  <c:v>0.516666651</c:v>
                </c:pt>
                <c:pt idx="18">
                  <c:v>0.550000012</c:v>
                </c:pt>
                <c:pt idx="19">
                  <c:v>0.583333314</c:v>
                </c:pt>
                <c:pt idx="20">
                  <c:v>0.616666675</c:v>
                </c:pt>
                <c:pt idx="21">
                  <c:v>0.649999976</c:v>
                </c:pt>
                <c:pt idx="22">
                  <c:v>0.683333337</c:v>
                </c:pt>
                <c:pt idx="23">
                  <c:v>0.716666639</c:v>
                </c:pt>
                <c:pt idx="24">
                  <c:v>0.75</c:v>
                </c:pt>
                <c:pt idx="25">
                  <c:v>0.783333302</c:v>
                </c:pt>
                <c:pt idx="26">
                  <c:v>0.816666663</c:v>
                </c:pt>
                <c:pt idx="27">
                  <c:v>0.849999964</c:v>
                </c:pt>
                <c:pt idx="28">
                  <c:v>0.883333325</c:v>
                </c:pt>
                <c:pt idx="29">
                  <c:v>0.916666627</c:v>
                </c:pt>
                <c:pt idx="30">
                  <c:v>0.949999988</c:v>
                </c:pt>
                <c:pt idx="31">
                  <c:v>0.98333329</c:v>
                </c:pt>
                <c:pt idx="32">
                  <c:v>1.016666651</c:v>
                </c:pt>
                <c:pt idx="33">
                  <c:v>1.049999952</c:v>
                </c:pt>
                <c:pt idx="34">
                  <c:v>1.083333373</c:v>
                </c:pt>
                <c:pt idx="35">
                  <c:v>1.116666675</c:v>
                </c:pt>
                <c:pt idx="36">
                  <c:v>1.149999976</c:v>
                </c:pt>
                <c:pt idx="37">
                  <c:v>1.183333278</c:v>
                </c:pt>
                <c:pt idx="38">
                  <c:v>1.216666698</c:v>
                </c:pt>
                <c:pt idx="39">
                  <c:v>1.25</c:v>
                </c:pt>
                <c:pt idx="40">
                  <c:v>1.283333302</c:v>
                </c:pt>
                <c:pt idx="41">
                  <c:v>1.316666603</c:v>
                </c:pt>
                <c:pt idx="42">
                  <c:v>1.350000024</c:v>
                </c:pt>
                <c:pt idx="43">
                  <c:v>1.383333325</c:v>
                </c:pt>
                <c:pt idx="44">
                  <c:v>1.416666627</c:v>
                </c:pt>
                <c:pt idx="45">
                  <c:v>1.449999928</c:v>
                </c:pt>
                <c:pt idx="46">
                  <c:v>1.483333349</c:v>
                </c:pt>
                <c:pt idx="47">
                  <c:v>1.516666651</c:v>
                </c:pt>
                <c:pt idx="48">
                  <c:v>1.549999952</c:v>
                </c:pt>
                <c:pt idx="49">
                  <c:v>1.583333373</c:v>
                </c:pt>
                <c:pt idx="50">
                  <c:v>1.616666675</c:v>
                </c:pt>
                <c:pt idx="51">
                  <c:v>1.649999976</c:v>
                </c:pt>
                <c:pt idx="52">
                  <c:v>1.683333278</c:v>
                </c:pt>
                <c:pt idx="53">
                  <c:v>1.716666698</c:v>
                </c:pt>
                <c:pt idx="54">
                  <c:v>1.75</c:v>
                </c:pt>
                <c:pt idx="55">
                  <c:v>1.783333302</c:v>
                </c:pt>
                <c:pt idx="56">
                  <c:v>1.816666603</c:v>
                </c:pt>
                <c:pt idx="57">
                  <c:v>1.850000024</c:v>
                </c:pt>
                <c:pt idx="58">
                  <c:v>1.883333325</c:v>
                </c:pt>
                <c:pt idx="59">
                  <c:v>1.916666627</c:v>
                </c:pt>
                <c:pt idx="60">
                  <c:v>1.949999928</c:v>
                </c:pt>
                <c:pt idx="61">
                  <c:v>1.983333349</c:v>
                </c:pt>
                <c:pt idx="62">
                  <c:v>2.016666651</c:v>
                </c:pt>
                <c:pt idx="63">
                  <c:v>2.049999952</c:v>
                </c:pt>
                <c:pt idx="64">
                  <c:v>2.083333254</c:v>
                </c:pt>
                <c:pt idx="65">
                  <c:v>2.116666555</c:v>
                </c:pt>
                <c:pt idx="66">
                  <c:v>2.150000095</c:v>
                </c:pt>
                <c:pt idx="67">
                  <c:v>2.183333397</c:v>
                </c:pt>
                <c:pt idx="68">
                  <c:v>2.216666698</c:v>
                </c:pt>
                <c:pt idx="69">
                  <c:v>2.25</c:v>
                </c:pt>
                <c:pt idx="70">
                  <c:v>2.283333302</c:v>
                </c:pt>
                <c:pt idx="71">
                  <c:v>2.316666603</c:v>
                </c:pt>
                <c:pt idx="72">
                  <c:v>2.349999905</c:v>
                </c:pt>
                <c:pt idx="73">
                  <c:v>2.383333206</c:v>
                </c:pt>
                <c:pt idx="74">
                  <c:v>2.416666746</c:v>
                </c:pt>
                <c:pt idx="75">
                  <c:v>2.450000048</c:v>
                </c:pt>
                <c:pt idx="76">
                  <c:v>2.483333349</c:v>
                </c:pt>
                <c:pt idx="77">
                  <c:v>2.516666651</c:v>
                </c:pt>
                <c:pt idx="78">
                  <c:v>2.549999952</c:v>
                </c:pt>
                <c:pt idx="79">
                  <c:v>2.583333254</c:v>
                </c:pt>
                <c:pt idx="80">
                  <c:v>2.616666555</c:v>
                </c:pt>
                <c:pt idx="81">
                  <c:v>2.650000095</c:v>
                </c:pt>
                <c:pt idx="82">
                  <c:v>2.683333397</c:v>
                </c:pt>
                <c:pt idx="83">
                  <c:v>2.716666698</c:v>
                </c:pt>
                <c:pt idx="84">
                  <c:v>2.75</c:v>
                </c:pt>
                <c:pt idx="85">
                  <c:v>2.783333302</c:v>
                </c:pt>
                <c:pt idx="86">
                  <c:v>2.816666603</c:v>
                </c:pt>
                <c:pt idx="87">
                  <c:v>2.849999905</c:v>
                </c:pt>
                <c:pt idx="88">
                  <c:v>2.883333206</c:v>
                </c:pt>
                <c:pt idx="89">
                  <c:v>2.916666746</c:v>
                </c:pt>
                <c:pt idx="90">
                  <c:v>2.950000048</c:v>
                </c:pt>
                <c:pt idx="91">
                  <c:v>2.983333349</c:v>
                </c:pt>
                <c:pt idx="92">
                  <c:v>3.016666651</c:v>
                </c:pt>
                <c:pt idx="93">
                  <c:v>3.049999952</c:v>
                </c:pt>
                <c:pt idx="94">
                  <c:v>3.083333254</c:v>
                </c:pt>
                <c:pt idx="95">
                  <c:v>3.116666555</c:v>
                </c:pt>
                <c:pt idx="96">
                  <c:v>3.150000095</c:v>
                </c:pt>
                <c:pt idx="97">
                  <c:v>3.183333397</c:v>
                </c:pt>
                <c:pt idx="98">
                  <c:v>3.216666698</c:v>
                </c:pt>
                <c:pt idx="99">
                  <c:v>3.25</c:v>
                </c:pt>
                <c:pt idx="100">
                  <c:v>3.283333302</c:v>
                </c:pt>
                <c:pt idx="101">
                  <c:v>3.316666603</c:v>
                </c:pt>
                <c:pt idx="102">
                  <c:v>3.349999905</c:v>
                </c:pt>
                <c:pt idx="103">
                  <c:v>3.383333206</c:v>
                </c:pt>
                <c:pt idx="104">
                  <c:v>3.416666746</c:v>
                </c:pt>
                <c:pt idx="105">
                  <c:v>3.450000048</c:v>
                </c:pt>
              </c:strCache>
            </c:strRef>
          </c:xVal>
          <c:yVal>
            <c:numRef>
              <c:f>BatchFlow_free!$B$1:$B$106</c:f>
              <c:numCache>
                <c:formatCode>General</c:formatCode>
                <c:ptCount val="106"/>
                <c:pt idx="1">
                  <c:v>0</c:v>
                </c:pt>
                <c:pt idx="2">
                  <c:v>1.6830706970000001E-2</c:v>
                </c:pt>
                <c:pt idx="3">
                  <c:v>1.7408475279999999E-2</c:v>
                </c:pt>
                <c:pt idx="4">
                  <c:v>1.890499704E-2</c:v>
                </c:pt>
                <c:pt idx="5">
                  <c:v>2.3371120910000001E-2</c:v>
                </c:pt>
                <c:pt idx="6">
                  <c:v>1.8047560010000002E-2</c:v>
                </c:pt>
                <c:pt idx="7">
                  <c:v>2.6380373169999999E-2</c:v>
                </c:pt>
                <c:pt idx="8">
                  <c:v>5.2548672999999997E-2</c:v>
                </c:pt>
                <c:pt idx="9">
                  <c:v>0.1264497191</c:v>
                </c:pt>
                <c:pt idx="10">
                  <c:v>0.2213081419</c:v>
                </c:pt>
                <c:pt idx="11">
                  <c:v>0.27623143789999999</c:v>
                </c:pt>
                <c:pt idx="12">
                  <c:v>0.29669407009999998</c:v>
                </c:pt>
                <c:pt idx="13">
                  <c:v>0.2842670679</c:v>
                </c:pt>
                <c:pt idx="14">
                  <c:v>0.28787443039999999</c:v>
                </c:pt>
                <c:pt idx="15">
                  <c:v>0.2844089568</c:v>
                </c:pt>
                <c:pt idx="16">
                  <c:v>0.28522276880000003</c:v>
                </c:pt>
                <c:pt idx="17">
                  <c:v>0.28586357829999998</c:v>
                </c:pt>
                <c:pt idx="18">
                  <c:v>0.279179126</c:v>
                </c:pt>
                <c:pt idx="19">
                  <c:v>0.2856654823</c:v>
                </c:pt>
                <c:pt idx="20">
                  <c:v>0.28956893090000002</c:v>
                </c:pt>
                <c:pt idx="21">
                  <c:v>0.30388015509999999</c:v>
                </c:pt>
                <c:pt idx="22">
                  <c:v>0.33180081839999997</c:v>
                </c:pt>
                <c:pt idx="23">
                  <c:v>0.34712979199999999</c:v>
                </c:pt>
                <c:pt idx="24">
                  <c:v>0.38337957859999999</c:v>
                </c:pt>
                <c:pt idx="25">
                  <c:v>0.39040625099999998</c:v>
                </c:pt>
                <c:pt idx="26">
                  <c:v>0.41370132570000001</c:v>
                </c:pt>
                <c:pt idx="27">
                  <c:v>0.4458391666</c:v>
                </c:pt>
                <c:pt idx="28">
                  <c:v>0.46515965460000003</c:v>
                </c:pt>
                <c:pt idx="29">
                  <c:v>0.47850272059999999</c:v>
                </c:pt>
                <c:pt idx="30">
                  <c:v>0.49559465050000001</c:v>
                </c:pt>
                <c:pt idx="31">
                  <c:v>0.50136625769999998</c:v>
                </c:pt>
                <c:pt idx="32">
                  <c:v>0.5185588002</c:v>
                </c:pt>
                <c:pt idx="33">
                  <c:v>0.52549570800000001</c:v>
                </c:pt>
                <c:pt idx="34">
                  <c:v>0.52780324219999997</c:v>
                </c:pt>
                <c:pt idx="35">
                  <c:v>0.55812489990000003</c:v>
                </c:pt>
                <c:pt idx="36">
                  <c:v>0.56242775919999999</c:v>
                </c:pt>
                <c:pt idx="37">
                  <c:v>0.57294440270000002</c:v>
                </c:pt>
                <c:pt idx="38">
                  <c:v>0.59103477000000004</c:v>
                </c:pt>
                <c:pt idx="39">
                  <c:v>0.60112255810000004</c:v>
                </c:pt>
                <c:pt idx="40">
                  <c:v>0.61432856319999996</c:v>
                </c:pt>
                <c:pt idx="41">
                  <c:v>0.61320453880000003</c:v>
                </c:pt>
                <c:pt idx="42">
                  <c:v>0.64691692590000005</c:v>
                </c:pt>
                <c:pt idx="43">
                  <c:v>0.66071951390000005</c:v>
                </c:pt>
                <c:pt idx="44">
                  <c:v>0.65748834609999995</c:v>
                </c:pt>
                <c:pt idx="45">
                  <c:v>0.67031300069999999</c:v>
                </c:pt>
                <c:pt idx="46">
                  <c:v>0.68932282919999999</c:v>
                </c:pt>
                <c:pt idx="47">
                  <c:v>0.70247000459999998</c:v>
                </c:pt>
                <c:pt idx="48">
                  <c:v>0.72950673099999996</c:v>
                </c:pt>
                <c:pt idx="49">
                  <c:v>0.73679536580000005</c:v>
                </c:pt>
                <c:pt idx="50">
                  <c:v>0.75731194020000003</c:v>
                </c:pt>
                <c:pt idx="51">
                  <c:v>0.76499319079999994</c:v>
                </c:pt>
                <c:pt idx="52">
                  <c:v>0.77120357750000001</c:v>
                </c:pt>
                <c:pt idx="53">
                  <c:v>0.78217446800000001</c:v>
                </c:pt>
                <c:pt idx="54">
                  <c:v>0.79258859159999995</c:v>
                </c:pt>
                <c:pt idx="55">
                  <c:v>0.81820654869999998</c:v>
                </c:pt>
                <c:pt idx="56">
                  <c:v>0.81589877609999995</c:v>
                </c:pt>
                <c:pt idx="57">
                  <c:v>0.81682485339999999</c:v>
                </c:pt>
                <c:pt idx="58">
                  <c:v>0.84084260460000004</c:v>
                </c:pt>
                <c:pt idx="59">
                  <c:v>0.87795114519999995</c:v>
                </c:pt>
                <c:pt idx="60">
                  <c:v>0.87462455029999997</c:v>
                </c:pt>
                <c:pt idx="61">
                  <c:v>0.88648062940000005</c:v>
                </c:pt>
                <c:pt idx="62">
                  <c:v>0.90879106519999997</c:v>
                </c:pt>
                <c:pt idx="63">
                  <c:v>0.8975796103</c:v>
                </c:pt>
                <c:pt idx="64">
                  <c:v>0.916174233</c:v>
                </c:pt>
                <c:pt idx="65">
                  <c:v>0.92473649979999994</c:v>
                </c:pt>
                <c:pt idx="66">
                  <c:v>0.97523236270000002</c:v>
                </c:pt>
                <c:pt idx="67">
                  <c:v>0.96802335979999998</c:v>
                </c:pt>
                <c:pt idx="68">
                  <c:v>0.96337682010000003</c:v>
                </c:pt>
                <c:pt idx="69">
                  <c:v>0.94615316390000004</c:v>
                </c:pt>
                <c:pt idx="70">
                  <c:v>1.0072280170000001</c:v>
                </c:pt>
                <c:pt idx="71">
                  <c:v>0.96270471810000002</c:v>
                </c:pt>
                <c:pt idx="72">
                  <c:v>0.9930174947</c:v>
                </c:pt>
                <c:pt idx="73">
                  <c:v>1.018076062</c:v>
                </c:pt>
                <c:pt idx="74">
                  <c:v>1.00758934</c:v>
                </c:pt>
                <c:pt idx="75">
                  <c:v>1.0458822249999999</c:v>
                </c:pt>
                <c:pt idx="76">
                  <c:v>1.039789796</c:v>
                </c:pt>
                <c:pt idx="77">
                  <c:v>1.0448330640000001</c:v>
                </c:pt>
                <c:pt idx="78">
                  <c:v>1.065603971</c:v>
                </c:pt>
                <c:pt idx="79">
                  <c:v>1.0728387829999999</c:v>
                </c:pt>
                <c:pt idx="80">
                  <c:v>1.0837571619999999</c:v>
                </c:pt>
                <c:pt idx="81">
                  <c:v>1.122532487</c:v>
                </c:pt>
                <c:pt idx="82">
                  <c:v>1.1194421050000001</c:v>
                </c:pt>
                <c:pt idx="83">
                  <c:v>1.127451658</c:v>
                </c:pt>
                <c:pt idx="84">
                  <c:v>1.1449522969999999</c:v>
                </c:pt>
                <c:pt idx="85">
                  <c:v>1.153876305</c:v>
                </c:pt>
                <c:pt idx="86">
                  <c:v>1.1539350749999999</c:v>
                </c:pt>
                <c:pt idx="87">
                  <c:v>1.1143573520000001</c:v>
                </c:pt>
                <c:pt idx="88">
                  <c:v>1.1536328789999999</c:v>
                </c:pt>
                <c:pt idx="89">
                  <c:v>1.168594956</c:v>
                </c:pt>
                <c:pt idx="90">
                  <c:v>1.1263777020000001</c:v>
                </c:pt>
                <c:pt idx="91">
                  <c:v>1.229014158</c:v>
                </c:pt>
                <c:pt idx="92">
                  <c:v>1.10976243</c:v>
                </c:pt>
                <c:pt idx="93">
                  <c:v>1.2162452939999999</c:v>
                </c:pt>
                <c:pt idx="94">
                  <c:v>1.1982746120000001</c:v>
                </c:pt>
                <c:pt idx="95">
                  <c:v>1.1945519449999999</c:v>
                </c:pt>
                <c:pt idx="96">
                  <c:v>1.2290352579999999</c:v>
                </c:pt>
                <c:pt idx="97">
                  <c:v>1.249493003</c:v>
                </c:pt>
                <c:pt idx="98">
                  <c:v>1.2672041650000001</c:v>
                </c:pt>
                <c:pt idx="99">
                  <c:v>1.2283577919999999</c:v>
                </c:pt>
                <c:pt idx="100">
                  <c:v>1.190644026</c:v>
                </c:pt>
                <c:pt idx="101">
                  <c:v>1.263265133</c:v>
                </c:pt>
                <c:pt idx="102">
                  <c:v>1.2867937089999999</c:v>
                </c:pt>
                <c:pt idx="103">
                  <c:v>1.2403444050000001</c:v>
                </c:pt>
                <c:pt idx="104">
                  <c:v>1.300611019</c:v>
                </c:pt>
                <c:pt idx="105">
                  <c:v>1.2793879509999999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EC-9F49-895F-779AC0D98353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BatchFlow_free!$A$1:$A$106</c:f>
              <c:strCache>
                <c:ptCount val="106"/>
                <c:pt idx="0">
                  <c:v>Sample 1</c:v>
                </c:pt>
                <c:pt idx="1">
                  <c:v>Time (min)</c:v>
                </c:pt>
                <c:pt idx="2">
                  <c:v>0.016666668</c:v>
                </c:pt>
                <c:pt idx="3">
                  <c:v>0.050000001</c:v>
                </c:pt>
                <c:pt idx="4">
                  <c:v>0.083333336</c:v>
                </c:pt>
                <c:pt idx="5">
                  <c:v>0.116666667</c:v>
                </c:pt>
                <c:pt idx="6">
                  <c:v>0.150000006</c:v>
                </c:pt>
                <c:pt idx="7">
                  <c:v>0.183333337</c:v>
                </c:pt>
                <c:pt idx="8">
                  <c:v>0.216666669</c:v>
                </c:pt>
                <c:pt idx="9">
                  <c:v>0.25</c:v>
                </c:pt>
                <c:pt idx="10">
                  <c:v>0.283333361</c:v>
                </c:pt>
                <c:pt idx="11">
                  <c:v>0.316666693</c:v>
                </c:pt>
                <c:pt idx="12">
                  <c:v>0.350000024</c:v>
                </c:pt>
                <c:pt idx="13">
                  <c:v>0.383333355</c:v>
                </c:pt>
                <c:pt idx="14">
                  <c:v>0.416666687</c:v>
                </c:pt>
                <c:pt idx="15">
                  <c:v>0.450000018</c:v>
                </c:pt>
                <c:pt idx="16">
                  <c:v>0.483333349</c:v>
                </c:pt>
                <c:pt idx="17">
                  <c:v>0.516666651</c:v>
                </c:pt>
                <c:pt idx="18">
                  <c:v>0.550000012</c:v>
                </c:pt>
                <c:pt idx="19">
                  <c:v>0.583333314</c:v>
                </c:pt>
                <c:pt idx="20">
                  <c:v>0.616666675</c:v>
                </c:pt>
                <c:pt idx="21">
                  <c:v>0.649999976</c:v>
                </c:pt>
                <c:pt idx="22">
                  <c:v>0.683333337</c:v>
                </c:pt>
                <c:pt idx="23">
                  <c:v>0.716666639</c:v>
                </c:pt>
                <c:pt idx="24">
                  <c:v>0.75</c:v>
                </c:pt>
                <c:pt idx="25">
                  <c:v>0.783333302</c:v>
                </c:pt>
                <c:pt idx="26">
                  <c:v>0.816666663</c:v>
                </c:pt>
                <c:pt idx="27">
                  <c:v>0.849999964</c:v>
                </c:pt>
                <c:pt idx="28">
                  <c:v>0.883333325</c:v>
                </c:pt>
                <c:pt idx="29">
                  <c:v>0.916666627</c:v>
                </c:pt>
                <c:pt idx="30">
                  <c:v>0.949999988</c:v>
                </c:pt>
                <c:pt idx="31">
                  <c:v>0.98333329</c:v>
                </c:pt>
                <c:pt idx="32">
                  <c:v>1.016666651</c:v>
                </c:pt>
                <c:pt idx="33">
                  <c:v>1.049999952</c:v>
                </c:pt>
                <c:pt idx="34">
                  <c:v>1.083333373</c:v>
                </c:pt>
                <c:pt idx="35">
                  <c:v>1.116666675</c:v>
                </c:pt>
                <c:pt idx="36">
                  <c:v>1.149999976</c:v>
                </c:pt>
                <c:pt idx="37">
                  <c:v>1.183333278</c:v>
                </c:pt>
                <c:pt idx="38">
                  <c:v>1.216666698</c:v>
                </c:pt>
                <c:pt idx="39">
                  <c:v>1.25</c:v>
                </c:pt>
                <c:pt idx="40">
                  <c:v>1.283333302</c:v>
                </c:pt>
                <c:pt idx="41">
                  <c:v>1.316666603</c:v>
                </c:pt>
                <c:pt idx="42">
                  <c:v>1.350000024</c:v>
                </c:pt>
                <c:pt idx="43">
                  <c:v>1.383333325</c:v>
                </c:pt>
                <c:pt idx="44">
                  <c:v>1.416666627</c:v>
                </c:pt>
                <c:pt idx="45">
                  <c:v>1.449999928</c:v>
                </c:pt>
                <c:pt idx="46">
                  <c:v>1.483333349</c:v>
                </c:pt>
                <c:pt idx="47">
                  <c:v>1.516666651</c:v>
                </c:pt>
                <c:pt idx="48">
                  <c:v>1.549999952</c:v>
                </c:pt>
                <c:pt idx="49">
                  <c:v>1.583333373</c:v>
                </c:pt>
                <c:pt idx="50">
                  <c:v>1.616666675</c:v>
                </c:pt>
                <c:pt idx="51">
                  <c:v>1.649999976</c:v>
                </c:pt>
                <c:pt idx="52">
                  <c:v>1.683333278</c:v>
                </c:pt>
                <c:pt idx="53">
                  <c:v>1.716666698</c:v>
                </c:pt>
                <c:pt idx="54">
                  <c:v>1.75</c:v>
                </c:pt>
                <c:pt idx="55">
                  <c:v>1.783333302</c:v>
                </c:pt>
                <c:pt idx="56">
                  <c:v>1.816666603</c:v>
                </c:pt>
                <c:pt idx="57">
                  <c:v>1.850000024</c:v>
                </c:pt>
                <c:pt idx="58">
                  <c:v>1.883333325</c:v>
                </c:pt>
                <c:pt idx="59">
                  <c:v>1.916666627</c:v>
                </c:pt>
                <c:pt idx="60">
                  <c:v>1.949999928</c:v>
                </c:pt>
                <c:pt idx="61">
                  <c:v>1.983333349</c:v>
                </c:pt>
                <c:pt idx="62">
                  <c:v>2.016666651</c:v>
                </c:pt>
                <c:pt idx="63">
                  <c:v>2.049999952</c:v>
                </c:pt>
                <c:pt idx="64">
                  <c:v>2.083333254</c:v>
                </c:pt>
                <c:pt idx="65">
                  <c:v>2.116666555</c:v>
                </c:pt>
                <c:pt idx="66">
                  <c:v>2.150000095</c:v>
                </c:pt>
                <c:pt idx="67">
                  <c:v>2.183333397</c:v>
                </c:pt>
                <c:pt idx="68">
                  <c:v>2.216666698</c:v>
                </c:pt>
                <c:pt idx="69">
                  <c:v>2.25</c:v>
                </c:pt>
                <c:pt idx="70">
                  <c:v>2.283333302</c:v>
                </c:pt>
                <c:pt idx="71">
                  <c:v>2.316666603</c:v>
                </c:pt>
                <c:pt idx="72">
                  <c:v>2.349999905</c:v>
                </c:pt>
                <c:pt idx="73">
                  <c:v>2.383333206</c:v>
                </c:pt>
                <c:pt idx="74">
                  <c:v>2.416666746</c:v>
                </c:pt>
                <c:pt idx="75">
                  <c:v>2.450000048</c:v>
                </c:pt>
                <c:pt idx="76">
                  <c:v>2.483333349</c:v>
                </c:pt>
                <c:pt idx="77">
                  <c:v>2.516666651</c:v>
                </c:pt>
                <c:pt idx="78">
                  <c:v>2.549999952</c:v>
                </c:pt>
                <c:pt idx="79">
                  <c:v>2.583333254</c:v>
                </c:pt>
                <c:pt idx="80">
                  <c:v>2.616666555</c:v>
                </c:pt>
                <c:pt idx="81">
                  <c:v>2.650000095</c:v>
                </c:pt>
                <c:pt idx="82">
                  <c:v>2.683333397</c:v>
                </c:pt>
                <c:pt idx="83">
                  <c:v>2.716666698</c:v>
                </c:pt>
                <c:pt idx="84">
                  <c:v>2.75</c:v>
                </c:pt>
                <c:pt idx="85">
                  <c:v>2.783333302</c:v>
                </c:pt>
                <c:pt idx="86">
                  <c:v>2.816666603</c:v>
                </c:pt>
                <c:pt idx="87">
                  <c:v>2.849999905</c:v>
                </c:pt>
                <c:pt idx="88">
                  <c:v>2.883333206</c:v>
                </c:pt>
                <c:pt idx="89">
                  <c:v>2.916666746</c:v>
                </c:pt>
                <c:pt idx="90">
                  <c:v>2.950000048</c:v>
                </c:pt>
                <c:pt idx="91">
                  <c:v>2.983333349</c:v>
                </c:pt>
                <c:pt idx="92">
                  <c:v>3.016666651</c:v>
                </c:pt>
                <c:pt idx="93">
                  <c:v>3.049999952</c:v>
                </c:pt>
                <c:pt idx="94">
                  <c:v>3.083333254</c:v>
                </c:pt>
                <c:pt idx="95">
                  <c:v>3.116666555</c:v>
                </c:pt>
                <c:pt idx="96">
                  <c:v>3.150000095</c:v>
                </c:pt>
                <c:pt idx="97">
                  <c:v>3.183333397</c:v>
                </c:pt>
                <c:pt idx="98">
                  <c:v>3.216666698</c:v>
                </c:pt>
                <c:pt idx="99">
                  <c:v>3.25</c:v>
                </c:pt>
                <c:pt idx="100">
                  <c:v>3.283333302</c:v>
                </c:pt>
                <c:pt idx="101">
                  <c:v>3.316666603</c:v>
                </c:pt>
                <c:pt idx="102">
                  <c:v>3.349999905</c:v>
                </c:pt>
                <c:pt idx="103">
                  <c:v>3.383333206</c:v>
                </c:pt>
                <c:pt idx="104">
                  <c:v>3.416666746</c:v>
                </c:pt>
                <c:pt idx="105">
                  <c:v>3.450000048</c:v>
                </c:pt>
              </c:strCache>
            </c:strRef>
          </c:xVal>
          <c:yVal>
            <c:numRef>
              <c:f>BatchFlow_free!$F:$F</c:f>
              <c:numCache>
                <c:formatCode>General</c:formatCode>
                <c:ptCount val="1048576"/>
                <c:pt idx="2">
                  <c:v>0</c:v>
                </c:pt>
                <c:pt idx="3">
                  <c:v>-3.4874400000000083E-3</c:v>
                </c:pt>
                <c:pt idx="4">
                  <c:v>4.1382899999999889E-3</c:v>
                </c:pt>
                <c:pt idx="5">
                  <c:v>1.4941839999999984E-2</c:v>
                </c:pt>
                <c:pt idx="6">
                  <c:v>1.6947450000000003E-2</c:v>
                </c:pt>
                <c:pt idx="7">
                  <c:v>1.5900520000000001E-2</c:v>
                </c:pt>
                <c:pt idx="8">
                  <c:v>3.9448779999999989E-2</c:v>
                </c:pt>
                <c:pt idx="9">
                  <c:v>8.2714599999999999E-2</c:v>
                </c:pt>
                <c:pt idx="10">
                  <c:v>0.15236340000000001</c:v>
                </c:pt>
                <c:pt idx="11">
                  <c:v>0.19788407</c:v>
                </c:pt>
                <c:pt idx="12">
                  <c:v>0.22144932999999997</c:v>
                </c:pt>
                <c:pt idx="13">
                  <c:v>0.24829972999999997</c:v>
                </c:pt>
                <c:pt idx="14">
                  <c:v>0.25916673000000001</c:v>
                </c:pt>
                <c:pt idx="15">
                  <c:v>0.26448943000000003</c:v>
                </c:pt>
                <c:pt idx="16">
                  <c:v>0.26997397999999995</c:v>
                </c:pt>
                <c:pt idx="17">
                  <c:v>0.27133748999999996</c:v>
                </c:pt>
                <c:pt idx="18">
                  <c:v>0.26692751999999997</c:v>
                </c:pt>
                <c:pt idx="19">
                  <c:v>0.27892472000000001</c:v>
                </c:pt>
                <c:pt idx="20">
                  <c:v>0.28261322999999994</c:v>
                </c:pt>
                <c:pt idx="21">
                  <c:v>0.29696323000000002</c:v>
                </c:pt>
                <c:pt idx="22">
                  <c:v>0.31498349999999997</c:v>
                </c:pt>
                <c:pt idx="23">
                  <c:v>0.32776457999999997</c:v>
                </c:pt>
                <c:pt idx="24">
                  <c:v>0.35351360999999992</c:v>
                </c:pt>
                <c:pt idx="25">
                  <c:v>0.37606967999999996</c:v>
                </c:pt>
                <c:pt idx="26">
                  <c:v>0.39635438999999995</c:v>
                </c:pt>
                <c:pt idx="27">
                  <c:v>0.41516657000000001</c:v>
                </c:pt>
                <c:pt idx="28">
                  <c:v>0.43889482000000002</c:v>
                </c:pt>
                <c:pt idx="29">
                  <c:v>0.45058334999999994</c:v>
                </c:pt>
                <c:pt idx="30">
                  <c:v>0.48622704999999999</c:v>
                </c:pt>
                <c:pt idx="31">
                  <c:v>0.48958356999999997</c:v>
                </c:pt>
                <c:pt idx="32">
                  <c:v>0.48546029999999996</c:v>
                </c:pt>
                <c:pt idx="33">
                  <c:v>0.48546029999999996</c:v>
                </c:pt>
                <c:pt idx="34">
                  <c:v>0.50053230999999998</c:v>
                </c:pt>
                <c:pt idx="35">
                  <c:v>0.50984174999999998</c:v>
                </c:pt>
                <c:pt idx="36">
                  <c:v>0.52530125999999988</c:v>
                </c:pt>
                <c:pt idx="37">
                  <c:v>0.53701419999999989</c:v>
                </c:pt>
                <c:pt idx="38">
                  <c:v>0.55178646999999992</c:v>
                </c:pt>
                <c:pt idx="39">
                  <c:v>0.56714160999999996</c:v>
                </c:pt>
                <c:pt idx="40">
                  <c:v>0.57591516999999992</c:v>
                </c:pt>
                <c:pt idx="41">
                  <c:v>0.58893487999999994</c:v>
                </c:pt>
                <c:pt idx="42">
                  <c:v>0.59192554999999991</c:v>
                </c:pt>
                <c:pt idx="43">
                  <c:v>0.60654173999999994</c:v>
                </c:pt>
                <c:pt idx="44">
                  <c:v>0.62054432999999987</c:v>
                </c:pt>
                <c:pt idx="45">
                  <c:v>0.62975283000000004</c:v>
                </c:pt>
                <c:pt idx="46">
                  <c:v>0.65439685000000003</c:v>
                </c:pt>
                <c:pt idx="47">
                  <c:v>0.66551847999999991</c:v>
                </c:pt>
                <c:pt idx="48">
                  <c:v>0.67977977999999994</c:v>
                </c:pt>
                <c:pt idx="49">
                  <c:v>0.69112308</c:v>
                </c:pt>
                <c:pt idx="50">
                  <c:v>0.70423270999999998</c:v>
                </c:pt>
                <c:pt idx="51">
                  <c:v>0.71892721999999998</c:v>
                </c:pt>
                <c:pt idx="52">
                  <c:v>0.72815043999999995</c:v>
                </c:pt>
                <c:pt idx="53">
                  <c:v>0.74028017000000002</c:v>
                </c:pt>
                <c:pt idx="54">
                  <c:v>0.76150370999999983</c:v>
                </c:pt>
                <c:pt idx="55">
                  <c:v>0.75803198000000005</c:v>
                </c:pt>
                <c:pt idx="56">
                  <c:v>0.76918960999999986</c:v>
                </c:pt>
                <c:pt idx="57">
                  <c:v>0.78216005999999993</c:v>
                </c:pt>
                <c:pt idx="58">
                  <c:v>0.79567904999999983</c:v>
                </c:pt>
                <c:pt idx="59">
                  <c:v>0.80543763999999995</c:v>
                </c:pt>
                <c:pt idx="60">
                  <c:v>0.82614131000000002</c:v>
                </c:pt>
                <c:pt idx="61">
                  <c:v>0.82857002000000002</c:v>
                </c:pt>
                <c:pt idx="62">
                  <c:v>0.85362226999999991</c:v>
                </c:pt>
                <c:pt idx="63">
                  <c:v>0.85302574999999992</c:v>
                </c:pt>
                <c:pt idx="64">
                  <c:v>0.86787874999999992</c:v>
                </c:pt>
                <c:pt idx="65">
                  <c:v>0.88278622999999989</c:v>
                </c:pt>
                <c:pt idx="66">
                  <c:v>0.89817048999999993</c:v>
                </c:pt>
                <c:pt idx="67">
                  <c:v>0.89700933000000005</c:v>
                </c:pt>
                <c:pt idx="68">
                  <c:v>0.92454327999999986</c:v>
                </c:pt>
                <c:pt idx="69">
                  <c:v>0.92721940999999986</c:v>
                </c:pt>
                <c:pt idx="70">
                  <c:v>0.92718328999999999</c:v>
                </c:pt>
                <c:pt idx="71">
                  <c:v>0.94655312999999996</c:v>
                </c:pt>
                <c:pt idx="72">
                  <c:v>0.94634611999999996</c:v>
                </c:pt>
                <c:pt idx="73">
                  <c:v>0.95826686999999999</c:v>
                </c:pt>
                <c:pt idx="74">
                  <c:v>0.97047151999999992</c:v>
                </c:pt>
                <c:pt idx="75">
                  <c:v>0.99564357000000003</c:v>
                </c:pt>
                <c:pt idx="76">
                  <c:v>0.99960614999999986</c:v>
                </c:pt>
                <c:pt idx="77">
                  <c:v>1.01321317</c:v>
                </c:pt>
                <c:pt idx="78">
                  <c:v>1.0364369900000001</c:v>
                </c:pt>
                <c:pt idx="79">
                  <c:v>1.03674515</c:v>
                </c:pt>
                <c:pt idx="80">
                  <c:v>1.02503134</c:v>
                </c:pt>
                <c:pt idx="81">
                  <c:v>1.0500279800000001</c:v>
                </c:pt>
                <c:pt idx="82">
                  <c:v>1.06178851</c:v>
                </c:pt>
                <c:pt idx="83">
                  <c:v>1.0914540400000001</c:v>
                </c:pt>
                <c:pt idx="84">
                  <c:v>1.1073885700000001</c:v>
                </c:pt>
                <c:pt idx="85">
                  <c:v>1.09977795</c:v>
                </c:pt>
                <c:pt idx="86">
                  <c:v>1.08534087</c:v>
                </c:pt>
                <c:pt idx="87">
                  <c:v>1.13359334</c:v>
                </c:pt>
                <c:pt idx="88">
                  <c:v>1.1469593199999999</c:v>
                </c:pt>
                <c:pt idx="89">
                  <c:v>1.1603694099999999</c:v>
                </c:pt>
                <c:pt idx="90">
                  <c:v>1.1132127199999999</c:v>
                </c:pt>
                <c:pt idx="91">
                  <c:v>1.05204751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6B-884E-8623-7CD73F754D1A}"/>
            </c:ext>
          </c:extLst>
        </c:ser>
        <c:ser>
          <c:idx val="2"/>
          <c:order val="2"/>
          <c:tx>
            <c:v>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BatchFlow_free!$A$1:$A$106</c:f>
              <c:strCache>
                <c:ptCount val="106"/>
                <c:pt idx="0">
                  <c:v>Sample 1</c:v>
                </c:pt>
                <c:pt idx="1">
                  <c:v>Time (min)</c:v>
                </c:pt>
                <c:pt idx="2">
                  <c:v>0.016666668</c:v>
                </c:pt>
                <c:pt idx="3">
                  <c:v>0.050000001</c:v>
                </c:pt>
                <c:pt idx="4">
                  <c:v>0.083333336</c:v>
                </c:pt>
                <c:pt idx="5">
                  <c:v>0.116666667</c:v>
                </c:pt>
                <c:pt idx="6">
                  <c:v>0.150000006</c:v>
                </c:pt>
                <c:pt idx="7">
                  <c:v>0.183333337</c:v>
                </c:pt>
                <c:pt idx="8">
                  <c:v>0.216666669</c:v>
                </c:pt>
                <c:pt idx="9">
                  <c:v>0.25</c:v>
                </c:pt>
                <c:pt idx="10">
                  <c:v>0.283333361</c:v>
                </c:pt>
                <c:pt idx="11">
                  <c:v>0.316666693</c:v>
                </c:pt>
                <c:pt idx="12">
                  <c:v>0.350000024</c:v>
                </c:pt>
                <c:pt idx="13">
                  <c:v>0.383333355</c:v>
                </c:pt>
                <c:pt idx="14">
                  <c:v>0.416666687</c:v>
                </c:pt>
                <c:pt idx="15">
                  <c:v>0.450000018</c:v>
                </c:pt>
                <c:pt idx="16">
                  <c:v>0.483333349</c:v>
                </c:pt>
                <c:pt idx="17">
                  <c:v>0.516666651</c:v>
                </c:pt>
                <c:pt idx="18">
                  <c:v>0.550000012</c:v>
                </c:pt>
                <c:pt idx="19">
                  <c:v>0.583333314</c:v>
                </c:pt>
                <c:pt idx="20">
                  <c:v>0.616666675</c:v>
                </c:pt>
                <c:pt idx="21">
                  <c:v>0.649999976</c:v>
                </c:pt>
                <c:pt idx="22">
                  <c:v>0.683333337</c:v>
                </c:pt>
                <c:pt idx="23">
                  <c:v>0.716666639</c:v>
                </c:pt>
                <c:pt idx="24">
                  <c:v>0.75</c:v>
                </c:pt>
                <c:pt idx="25">
                  <c:v>0.783333302</c:v>
                </c:pt>
                <c:pt idx="26">
                  <c:v>0.816666663</c:v>
                </c:pt>
                <c:pt idx="27">
                  <c:v>0.849999964</c:v>
                </c:pt>
                <c:pt idx="28">
                  <c:v>0.883333325</c:v>
                </c:pt>
                <c:pt idx="29">
                  <c:v>0.916666627</c:v>
                </c:pt>
                <c:pt idx="30">
                  <c:v>0.949999988</c:v>
                </c:pt>
                <c:pt idx="31">
                  <c:v>0.98333329</c:v>
                </c:pt>
                <c:pt idx="32">
                  <c:v>1.016666651</c:v>
                </c:pt>
                <c:pt idx="33">
                  <c:v>1.049999952</c:v>
                </c:pt>
                <c:pt idx="34">
                  <c:v>1.083333373</c:v>
                </c:pt>
                <c:pt idx="35">
                  <c:v>1.116666675</c:v>
                </c:pt>
                <c:pt idx="36">
                  <c:v>1.149999976</c:v>
                </c:pt>
                <c:pt idx="37">
                  <c:v>1.183333278</c:v>
                </c:pt>
                <c:pt idx="38">
                  <c:v>1.216666698</c:v>
                </c:pt>
                <c:pt idx="39">
                  <c:v>1.25</c:v>
                </c:pt>
                <c:pt idx="40">
                  <c:v>1.283333302</c:v>
                </c:pt>
                <c:pt idx="41">
                  <c:v>1.316666603</c:v>
                </c:pt>
                <c:pt idx="42">
                  <c:v>1.350000024</c:v>
                </c:pt>
                <c:pt idx="43">
                  <c:v>1.383333325</c:v>
                </c:pt>
                <c:pt idx="44">
                  <c:v>1.416666627</c:v>
                </c:pt>
                <c:pt idx="45">
                  <c:v>1.449999928</c:v>
                </c:pt>
                <c:pt idx="46">
                  <c:v>1.483333349</c:v>
                </c:pt>
                <c:pt idx="47">
                  <c:v>1.516666651</c:v>
                </c:pt>
                <c:pt idx="48">
                  <c:v>1.549999952</c:v>
                </c:pt>
                <c:pt idx="49">
                  <c:v>1.583333373</c:v>
                </c:pt>
                <c:pt idx="50">
                  <c:v>1.616666675</c:v>
                </c:pt>
                <c:pt idx="51">
                  <c:v>1.649999976</c:v>
                </c:pt>
                <c:pt idx="52">
                  <c:v>1.683333278</c:v>
                </c:pt>
                <c:pt idx="53">
                  <c:v>1.716666698</c:v>
                </c:pt>
                <c:pt idx="54">
                  <c:v>1.75</c:v>
                </c:pt>
                <c:pt idx="55">
                  <c:v>1.783333302</c:v>
                </c:pt>
                <c:pt idx="56">
                  <c:v>1.816666603</c:v>
                </c:pt>
                <c:pt idx="57">
                  <c:v>1.850000024</c:v>
                </c:pt>
                <c:pt idx="58">
                  <c:v>1.883333325</c:v>
                </c:pt>
                <c:pt idx="59">
                  <c:v>1.916666627</c:v>
                </c:pt>
                <c:pt idx="60">
                  <c:v>1.949999928</c:v>
                </c:pt>
                <c:pt idx="61">
                  <c:v>1.983333349</c:v>
                </c:pt>
                <c:pt idx="62">
                  <c:v>2.016666651</c:v>
                </c:pt>
                <c:pt idx="63">
                  <c:v>2.049999952</c:v>
                </c:pt>
                <c:pt idx="64">
                  <c:v>2.083333254</c:v>
                </c:pt>
                <c:pt idx="65">
                  <c:v>2.116666555</c:v>
                </c:pt>
                <c:pt idx="66">
                  <c:v>2.150000095</c:v>
                </c:pt>
                <c:pt idx="67">
                  <c:v>2.183333397</c:v>
                </c:pt>
                <c:pt idx="68">
                  <c:v>2.216666698</c:v>
                </c:pt>
                <c:pt idx="69">
                  <c:v>2.25</c:v>
                </c:pt>
                <c:pt idx="70">
                  <c:v>2.283333302</c:v>
                </c:pt>
                <c:pt idx="71">
                  <c:v>2.316666603</c:v>
                </c:pt>
                <c:pt idx="72">
                  <c:v>2.349999905</c:v>
                </c:pt>
                <c:pt idx="73">
                  <c:v>2.383333206</c:v>
                </c:pt>
                <c:pt idx="74">
                  <c:v>2.416666746</c:v>
                </c:pt>
                <c:pt idx="75">
                  <c:v>2.450000048</c:v>
                </c:pt>
                <c:pt idx="76">
                  <c:v>2.483333349</c:v>
                </c:pt>
                <c:pt idx="77">
                  <c:v>2.516666651</c:v>
                </c:pt>
                <c:pt idx="78">
                  <c:v>2.549999952</c:v>
                </c:pt>
                <c:pt idx="79">
                  <c:v>2.583333254</c:v>
                </c:pt>
                <c:pt idx="80">
                  <c:v>2.616666555</c:v>
                </c:pt>
                <c:pt idx="81">
                  <c:v>2.650000095</c:v>
                </c:pt>
                <c:pt idx="82">
                  <c:v>2.683333397</c:v>
                </c:pt>
                <c:pt idx="83">
                  <c:v>2.716666698</c:v>
                </c:pt>
                <c:pt idx="84">
                  <c:v>2.75</c:v>
                </c:pt>
                <c:pt idx="85">
                  <c:v>2.783333302</c:v>
                </c:pt>
                <c:pt idx="86">
                  <c:v>2.816666603</c:v>
                </c:pt>
                <c:pt idx="87">
                  <c:v>2.849999905</c:v>
                </c:pt>
                <c:pt idx="88">
                  <c:v>2.883333206</c:v>
                </c:pt>
                <c:pt idx="89">
                  <c:v>2.916666746</c:v>
                </c:pt>
                <c:pt idx="90">
                  <c:v>2.950000048</c:v>
                </c:pt>
                <c:pt idx="91">
                  <c:v>2.983333349</c:v>
                </c:pt>
                <c:pt idx="92">
                  <c:v>3.016666651</c:v>
                </c:pt>
                <c:pt idx="93">
                  <c:v>3.049999952</c:v>
                </c:pt>
                <c:pt idx="94">
                  <c:v>3.083333254</c:v>
                </c:pt>
                <c:pt idx="95">
                  <c:v>3.116666555</c:v>
                </c:pt>
                <c:pt idx="96">
                  <c:v>3.150000095</c:v>
                </c:pt>
                <c:pt idx="97">
                  <c:v>3.183333397</c:v>
                </c:pt>
                <c:pt idx="98">
                  <c:v>3.216666698</c:v>
                </c:pt>
                <c:pt idx="99">
                  <c:v>3.25</c:v>
                </c:pt>
                <c:pt idx="100">
                  <c:v>3.283333302</c:v>
                </c:pt>
                <c:pt idx="101">
                  <c:v>3.316666603</c:v>
                </c:pt>
                <c:pt idx="102">
                  <c:v>3.349999905</c:v>
                </c:pt>
                <c:pt idx="103">
                  <c:v>3.383333206</c:v>
                </c:pt>
                <c:pt idx="104">
                  <c:v>3.416666746</c:v>
                </c:pt>
                <c:pt idx="105">
                  <c:v>3.450000048</c:v>
                </c:pt>
              </c:strCache>
            </c:strRef>
          </c:xVal>
          <c:yVal>
            <c:numRef>
              <c:f>BatchFlow_free!$J:$J</c:f>
              <c:numCache>
                <c:formatCode>General</c:formatCode>
                <c:ptCount val="1048576"/>
                <c:pt idx="1">
                  <c:v>0</c:v>
                </c:pt>
                <c:pt idx="2">
                  <c:v>4.0173939999999998E-2</c:v>
                </c:pt>
                <c:pt idx="3">
                  <c:v>4.6700140000000001E-2</c:v>
                </c:pt>
                <c:pt idx="4">
                  <c:v>4.8832309999999997E-2</c:v>
                </c:pt>
                <c:pt idx="5">
                  <c:v>5.6068350000000003E-2</c:v>
                </c:pt>
                <c:pt idx="6">
                  <c:v>5.3857769999999999E-2</c:v>
                </c:pt>
                <c:pt idx="7">
                  <c:v>5.8307159999999997E-2</c:v>
                </c:pt>
                <c:pt idx="8">
                  <c:v>0.10161307</c:v>
                </c:pt>
                <c:pt idx="9">
                  <c:v>0.17412320000000001</c:v>
                </c:pt>
                <c:pt idx="10">
                  <c:v>0.23860297</c:v>
                </c:pt>
                <c:pt idx="11">
                  <c:v>0.26620593999999997</c:v>
                </c:pt>
                <c:pt idx="12">
                  <c:v>0.29414477999999999</c:v>
                </c:pt>
                <c:pt idx="13">
                  <c:v>0.30360546999999999</c:v>
                </c:pt>
                <c:pt idx="14">
                  <c:v>0.30655384000000002</c:v>
                </c:pt>
                <c:pt idx="15">
                  <c:v>0.31219681999999999</c:v>
                </c:pt>
                <c:pt idx="16">
                  <c:v>0.3007648</c:v>
                </c:pt>
                <c:pt idx="17">
                  <c:v>0.30536476000000001</c:v>
                </c:pt>
                <c:pt idx="18">
                  <c:v>0.31531194000000001</c:v>
                </c:pt>
                <c:pt idx="19">
                  <c:v>0.30861619000000001</c:v>
                </c:pt>
                <c:pt idx="20">
                  <c:v>0.31528311999999997</c:v>
                </c:pt>
                <c:pt idx="21">
                  <c:v>0.33492677999999998</c:v>
                </c:pt>
                <c:pt idx="22">
                  <c:v>0.35583785000000001</c:v>
                </c:pt>
                <c:pt idx="23">
                  <c:v>0.37803104999999998</c:v>
                </c:pt>
                <c:pt idx="24">
                  <c:v>0.39805675000000001</c:v>
                </c:pt>
                <c:pt idx="25">
                  <c:v>0.41572492999999999</c:v>
                </c:pt>
                <c:pt idx="26">
                  <c:v>0.43374689999999999</c:v>
                </c:pt>
                <c:pt idx="27">
                  <c:v>0.45180023000000002</c:v>
                </c:pt>
                <c:pt idx="28">
                  <c:v>0.47902429000000002</c:v>
                </c:pt>
                <c:pt idx="29">
                  <c:v>0.48966616000000002</c:v>
                </c:pt>
                <c:pt idx="30">
                  <c:v>0.49868274000000001</c:v>
                </c:pt>
                <c:pt idx="31">
                  <c:v>0.51053870000000001</c:v>
                </c:pt>
                <c:pt idx="32">
                  <c:v>0.51468068</c:v>
                </c:pt>
                <c:pt idx="33">
                  <c:v>0.5343523</c:v>
                </c:pt>
                <c:pt idx="34">
                  <c:v>0.55189281999999995</c:v>
                </c:pt>
                <c:pt idx="35">
                  <c:v>0.57540077000000001</c:v>
                </c:pt>
                <c:pt idx="36">
                  <c:v>0.58259320000000003</c:v>
                </c:pt>
                <c:pt idx="37">
                  <c:v>0.59029299000000002</c:v>
                </c:pt>
                <c:pt idx="38">
                  <c:v>0.60112869999999996</c:v>
                </c:pt>
                <c:pt idx="39">
                  <c:v>0.61725669999999999</c:v>
                </c:pt>
                <c:pt idx="40">
                  <c:v>0.63792073999999999</c:v>
                </c:pt>
                <c:pt idx="41">
                  <c:v>0.65052140000000003</c:v>
                </c:pt>
                <c:pt idx="42">
                  <c:v>0.66098230999999996</c:v>
                </c:pt>
                <c:pt idx="43">
                  <c:v>0.67024874999999995</c:v>
                </c:pt>
                <c:pt idx="44">
                  <c:v>0.68973839000000003</c:v>
                </c:pt>
                <c:pt idx="45">
                  <c:v>0.69903736999999999</c:v>
                </c:pt>
                <c:pt idx="46">
                  <c:v>0.70812481999999999</c:v>
                </c:pt>
                <c:pt idx="47">
                  <c:v>0.72479134999999995</c:v>
                </c:pt>
                <c:pt idx="48">
                  <c:v>0.74206346000000001</c:v>
                </c:pt>
                <c:pt idx="49">
                  <c:v>0.75618350999999995</c:v>
                </c:pt>
                <c:pt idx="50">
                  <c:v>0.78598248999999998</c:v>
                </c:pt>
                <c:pt idx="51">
                  <c:v>0.78734952000000002</c:v>
                </c:pt>
                <c:pt idx="52">
                  <c:v>0.78944110999999995</c:v>
                </c:pt>
                <c:pt idx="53">
                  <c:v>0.79451740000000004</c:v>
                </c:pt>
                <c:pt idx="54">
                  <c:v>0.82597739000000003</c:v>
                </c:pt>
                <c:pt idx="55">
                  <c:v>0.81409019000000005</c:v>
                </c:pt>
                <c:pt idx="56">
                  <c:v>0.83865529000000005</c:v>
                </c:pt>
                <c:pt idx="57">
                  <c:v>0.83155566000000003</c:v>
                </c:pt>
                <c:pt idx="58">
                  <c:v>0.86904174000000001</c:v>
                </c:pt>
                <c:pt idx="59">
                  <c:v>0.85338926000000004</c:v>
                </c:pt>
                <c:pt idx="60">
                  <c:v>0.77291483000000005</c:v>
                </c:pt>
                <c:pt idx="61">
                  <c:v>0.77591955999999995</c:v>
                </c:pt>
                <c:pt idx="93">
                  <c:v>1.0166608100000001</c:v>
                </c:pt>
                <c:pt idx="94">
                  <c:v>1.0471037599999999</c:v>
                </c:pt>
                <c:pt idx="95">
                  <c:v>1.0426934999999999</c:v>
                </c:pt>
                <c:pt idx="96">
                  <c:v>1.04786611</c:v>
                </c:pt>
                <c:pt idx="97">
                  <c:v>1.05036223</c:v>
                </c:pt>
                <c:pt idx="98">
                  <c:v>1.0663016999999999</c:v>
                </c:pt>
                <c:pt idx="99">
                  <c:v>1.04501128</c:v>
                </c:pt>
                <c:pt idx="100">
                  <c:v>1.0605167200000001</c:v>
                </c:pt>
                <c:pt idx="101">
                  <c:v>1.0822479700000001</c:v>
                </c:pt>
                <c:pt idx="102">
                  <c:v>1.09751642</c:v>
                </c:pt>
                <c:pt idx="103">
                  <c:v>1.0748695100000001</c:v>
                </c:pt>
                <c:pt idx="104">
                  <c:v>1.06810999</c:v>
                </c:pt>
                <c:pt idx="105">
                  <c:v>1.0845574099999999</c:v>
                </c:pt>
                <c:pt idx="106">
                  <c:v>1.1291961699999999</c:v>
                </c:pt>
                <c:pt idx="107">
                  <c:v>1.1239931599999999</c:v>
                </c:pt>
                <c:pt idx="108">
                  <c:v>1.1068021100000001</c:v>
                </c:pt>
                <c:pt idx="109">
                  <c:v>1.13332319</c:v>
                </c:pt>
                <c:pt idx="110">
                  <c:v>1.14453304</c:v>
                </c:pt>
                <c:pt idx="111">
                  <c:v>1.1362865</c:v>
                </c:pt>
                <c:pt idx="112">
                  <c:v>1.1189990000000001</c:v>
                </c:pt>
                <c:pt idx="113">
                  <c:v>1.14324892</c:v>
                </c:pt>
                <c:pt idx="114">
                  <c:v>1.16112554</c:v>
                </c:pt>
                <c:pt idx="115">
                  <c:v>1.1585757699999999</c:v>
                </c:pt>
                <c:pt idx="116">
                  <c:v>1.12986922</c:v>
                </c:pt>
                <c:pt idx="117">
                  <c:v>1.1941832299999999</c:v>
                </c:pt>
                <c:pt idx="118">
                  <c:v>1.1711988499999999</c:v>
                </c:pt>
                <c:pt idx="119">
                  <c:v>1.17503476</c:v>
                </c:pt>
                <c:pt idx="120">
                  <c:v>1.19360483</c:v>
                </c:pt>
                <c:pt idx="121">
                  <c:v>1.2318946099999999</c:v>
                </c:pt>
                <c:pt idx="122">
                  <c:v>1.2084899</c:v>
                </c:pt>
                <c:pt idx="123">
                  <c:v>1.18378592</c:v>
                </c:pt>
                <c:pt idx="124">
                  <c:v>1.14436245</c:v>
                </c:pt>
                <c:pt idx="125">
                  <c:v>1.1689369700000001</c:v>
                </c:pt>
                <c:pt idx="126">
                  <c:v>1.2007248399999999</c:v>
                </c:pt>
                <c:pt idx="127">
                  <c:v>1.1734894499999999</c:v>
                </c:pt>
                <c:pt idx="128">
                  <c:v>1.1460440199999999</c:v>
                </c:pt>
                <c:pt idx="129">
                  <c:v>1.1979780200000001</c:v>
                </c:pt>
                <c:pt idx="130">
                  <c:v>1.15929544</c:v>
                </c:pt>
                <c:pt idx="131">
                  <c:v>1.19611442</c:v>
                </c:pt>
                <c:pt idx="132">
                  <c:v>1.18555188</c:v>
                </c:pt>
                <c:pt idx="133">
                  <c:v>1.1883108600000001</c:v>
                </c:pt>
                <c:pt idx="134">
                  <c:v>1.1909078399999999</c:v>
                </c:pt>
                <c:pt idx="135">
                  <c:v>1.20209682</c:v>
                </c:pt>
                <c:pt idx="136">
                  <c:v>1.1969103800000001</c:v>
                </c:pt>
                <c:pt idx="137">
                  <c:v>1.1783828700000001</c:v>
                </c:pt>
                <c:pt idx="138">
                  <c:v>1.19036746</c:v>
                </c:pt>
                <c:pt idx="139">
                  <c:v>1.20545149</c:v>
                </c:pt>
                <c:pt idx="140">
                  <c:v>1.1898988500000001</c:v>
                </c:pt>
                <c:pt idx="141">
                  <c:v>1.2529367199999999</c:v>
                </c:pt>
                <c:pt idx="142">
                  <c:v>1.2710664300000001</c:v>
                </c:pt>
                <c:pt idx="143">
                  <c:v>1.21565163</c:v>
                </c:pt>
                <c:pt idx="144">
                  <c:v>1.2263858299999999</c:v>
                </c:pt>
                <c:pt idx="145">
                  <c:v>1.2837431399999999</c:v>
                </c:pt>
                <c:pt idx="146">
                  <c:v>1.2478106</c:v>
                </c:pt>
                <c:pt idx="147">
                  <c:v>1.2908685200000001</c:v>
                </c:pt>
                <c:pt idx="148">
                  <c:v>1.2053349</c:v>
                </c:pt>
                <c:pt idx="149">
                  <c:v>1.2907499099999999</c:v>
                </c:pt>
                <c:pt idx="150">
                  <c:v>1.2815705500000001</c:v>
                </c:pt>
                <c:pt idx="151">
                  <c:v>1.2450139499999999</c:v>
                </c:pt>
                <c:pt idx="152">
                  <c:v>1.2734953200000001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3">
                  <c:v>245</c:v>
                </c:pt>
                <c:pt idx="18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6B-884E-8623-7CD73F754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828144"/>
        <c:axId val="524847984"/>
      </c:scatterChart>
      <c:valAx>
        <c:axId val="524828144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847984"/>
        <c:crosses val="autoZero"/>
        <c:crossBetween val="midCat"/>
      </c:valAx>
      <c:valAx>
        <c:axId val="52484798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abs (245 nm)</a:t>
                </a:r>
              </a:p>
            </c:rich>
          </c:tx>
          <c:layout>
            <c:manualLayout>
              <c:xMode val="edge"/>
              <c:yMode val="edge"/>
              <c:x val="2.6320876116637568E-2"/>
              <c:y val="0.223068761822778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828144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023268792544005"/>
          <c:y val="9.4791949456420846E-2"/>
          <c:w val="0.80072582138532233"/>
          <c:h val="0.73639865728046894"/>
        </c:manualLayout>
      </c:layout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BatchFlow_free!$M:$M</c:f>
                <c:numCache>
                  <c:formatCode>General</c:formatCode>
                  <c:ptCount val="1048576"/>
                  <c:pt idx="2">
                    <c:v>2.0174756010612575E-2</c:v>
                  </c:pt>
                  <c:pt idx="3">
                    <c:v>2.5210560233475676E-2</c:v>
                  </c:pt>
                  <c:pt idx="4">
                    <c:v>2.2771528720353734E-2</c:v>
                  </c:pt>
                  <c:pt idx="5">
                    <c:v>2.1723840174655028E-2</c:v>
                  </c:pt>
                  <c:pt idx="6">
                    <c:v>2.0999813904192886E-2</c:v>
                  </c:pt>
                  <c:pt idx="7">
                    <c:v>2.2088723200774568E-2</c:v>
                  </c:pt>
                  <c:pt idx="8">
                    <c:v>3.2770213102727812E-2</c:v>
                  </c:pt>
                  <c:pt idx="9">
                    <c:v>4.5718438253024796E-2</c:v>
                  </c:pt>
                  <c:pt idx="10">
                    <c:v>4.5624832325629881E-2</c:v>
                  </c:pt>
                  <c:pt idx="11">
                    <c:v>4.2635467600926326E-2</c:v>
                  </c:pt>
                  <c:pt idx="12">
                    <c:v>4.2725671914812052E-2</c:v>
                  </c:pt>
                  <c:pt idx="13">
                    <c:v>2.8066433297748116E-2</c:v>
                  </c:pt>
                  <c:pt idx="14">
                    <c:v>2.3869752824487705E-2</c:v>
                  </c:pt>
                  <c:pt idx="15">
                    <c:v>2.3961594096143127E-2</c:v>
                  </c:pt>
                  <c:pt idx="16">
                    <c:v>1.539564272752296E-2</c:v>
                  </c:pt>
                  <c:pt idx="17">
                    <c:v>1.7074144354592206E-2</c:v>
                  </c:pt>
                  <c:pt idx="18">
                    <c:v>2.5155298301664131E-2</c:v>
                  </c:pt>
                  <c:pt idx="19">
                    <c:v>1.5565754350907856E-2</c:v>
                  </c:pt>
                  <c:pt idx="20">
                    <c:v>1.7209120685908196E-2</c:v>
                  </c:pt>
                  <c:pt idx="21">
                    <c:v>2.0219495126909928E-2</c:v>
                  </c:pt>
                  <c:pt idx="22">
                    <c:v>2.0533221050405455E-2</c:v>
                  </c:pt>
                  <c:pt idx="23">
                    <c:v>2.535289986059586E-2</c:v>
                  </c:pt>
                  <c:pt idx="24">
                    <c:v>2.2699070325238643E-2</c:v>
                  </c:pt>
                  <c:pt idx="25">
                    <c:v>2.0079473876347731E-2</c:v>
                  </c:pt>
                  <c:pt idx="26">
                    <c:v>1.8712478150941864E-2</c:v>
                  </c:pt>
                  <c:pt idx="27">
                    <c:v>1.9656922037969017E-2</c:v>
                  </c:pt>
                  <c:pt idx="28">
                    <c:v>2.0381543995410777E-2</c:v>
                  </c:pt>
                  <c:pt idx="29">
                    <c:v>2.0131151943500097E-2</c:v>
                  </c:pt>
                  <c:pt idx="30">
                    <c:v>6.4862990123247645E-3</c:v>
                  </c:pt>
                  <c:pt idx="31">
                    <c:v>1.0504625175761574E-2</c:v>
                  </c:pt>
                  <c:pt idx="32">
                    <c:v>1.8094111100573827E-2</c:v>
                  </c:pt>
                  <c:pt idx="33">
                    <c:v>2.6050274405403539E-2</c:v>
                  </c:pt>
                  <c:pt idx="34">
                    <c:v>2.5696671279562475E-2</c:v>
                  </c:pt>
                  <c:pt idx="35">
                    <c:v>3.3979659001963584E-2</c:v>
                  </c:pt>
                  <c:pt idx="36">
                    <c:v>2.9061395740941087E-2</c:v>
                  </c:pt>
                  <c:pt idx="37">
                    <c:v>2.7174075915698686E-2</c:v>
                  </c:pt>
                  <c:pt idx="38">
                    <c:v>2.6067131721473222E-2</c:v>
                  </c:pt>
                  <c:pt idx="39">
                    <c:v>2.5581691416363694E-2</c:v>
                  </c:pt>
                  <c:pt idx="40">
                    <c:v>3.1296619344388134E-2</c:v>
                  </c:pt>
                  <c:pt idx="41">
                    <c:v>3.1022744112986143E-2</c:v>
                  </c:pt>
                  <c:pt idx="42">
                    <c:v>3.6493658250334522E-2</c:v>
                  </c:pt>
                  <c:pt idx="43">
                    <c:v>3.436233560297567E-2</c:v>
                  </c:pt>
                  <c:pt idx="44">
                    <c:v>3.4623555556953373E-2</c:v>
                  </c:pt>
                  <c:pt idx="45">
                    <c:v>3.4810353636783385E-2</c:v>
                  </c:pt>
                  <c:pt idx="46">
                    <c:v>2.7264242887718369E-2</c:v>
                  </c:pt>
                  <c:pt idx="47">
                    <c:v>2.9935850159876352E-2</c:v>
                  </c:pt>
                  <c:pt idx="48">
                    <c:v>3.2938573874406109E-2</c:v>
                  </c:pt>
                  <c:pt idx="49">
                    <c:v>3.3403386498731355E-2</c:v>
                  </c:pt>
                  <c:pt idx="50">
                    <c:v>4.1477768411739308E-2</c:v>
                  </c:pt>
                  <c:pt idx="51">
                    <c:v>3.4889086780671194E-2</c:v>
                  </c:pt>
                  <c:pt idx="52">
                    <c:v>3.1471485690307464E-2</c:v>
                  </c:pt>
                  <c:pt idx="53">
                    <c:v>2.842873339112599E-2</c:v>
                  </c:pt>
                  <c:pt idx="54">
                    <c:v>3.2243699992981316E-2</c:v>
                  </c:pt>
                  <c:pt idx="55">
                    <c:v>3.3616578339618328E-2</c:v>
                  </c:pt>
                  <c:pt idx="56">
                    <c:v>3.5414417545449675E-2</c:v>
                  </c:pt>
                  <c:pt idx="57">
                    <c:v>2.5359317366966925E-2</c:v>
                  </c:pt>
                  <c:pt idx="58">
                    <c:v>3.7006806098002339E-2</c:v>
                  </c:pt>
                  <c:pt idx="59">
                    <c:v>3.6880104170118631E-2</c:v>
                  </c:pt>
                  <c:pt idx="60">
                    <c:v>5.0873290252486048E-2</c:v>
                  </c:pt>
                  <c:pt idx="61">
                    <c:v>5.530138588703816E-2</c:v>
                  </c:pt>
                  <c:pt idx="62">
                    <c:v>3.9010229195811902E-2</c:v>
                  </c:pt>
                  <c:pt idx="63">
                    <c:v>3.1504336746168163E-2</c:v>
                  </c:pt>
                  <c:pt idx="64">
                    <c:v>3.4150063529979686E-2</c:v>
                  </c:pt>
                  <c:pt idx="65">
                    <c:v>2.9663320248185267E-2</c:v>
                  </c:pt>
                  <c:pt idx="66">
                    <c:v>5.4490972757104544E-2</c:v>
                  </c:pt>
                  <c:pt idx="67">
                    <c:v>5.0214502030963518E-2</c:v>
                  </c:pt>
                  <c:pt idx="68">
                    <c:v>2.7459459542189844E-2</c:v>
                  </c:pt>
                  <c:pt idx="69">
                    <c:v>1.338818577600737E-2</c:v>
                  </c:pt>
                  <c:pt idx="70">
                    <c:v>5.6600169259926003E-2</c:v>
                  </c:pt>
                  <c:pt idx="71">
                    <c:v>1.1420897472441986E-2</c:v>
                  </c:pt>
                  <c:pt idx="72">
                    <c:v>3.3001645537668302E-2</c:v>
                  </c:pt>
                  <c:pt idx="73">
                    <c:v>4.2291485240488216E-2</c:v>
                  </c:pt>
                  <c:pt idx="74">
                    <c:v>2.6246262224861715E-2</c:v>
                  </c:pt>
                  <c:pt idx="75">
                    <c:v>3.5524093628191387E-2</c:v>
                  </c:pt>
                  <c:pt idx="76">
                    <c:v>2.8414128579399775E-2</c:v>
                  </c:pt>
                  <c:pt idx="77">
                    <c:v>2.2358641467799891E-2</c:v>
                  </c:pt>
                  <c:pt idx="78">
                    <c:v>2.0624170051839134E-2</c:v>
                  </c:pt>
                  <c:pt idx="79">
                    <c:v>2.5522052651958484E-2</c:v>
                  </c:pt>
                  <c:pt idx="80">
                    <c:v>4.1525426966954125E-2</c:v>
                  </c:pt>
                  <c:pt idx="81">
                    <c:v>5.1268428566287418E-2</c:v>
                  </c:pt>
                  <c:pt idx="82">
                    <c:v>4.0767247984282912E-2</c:v>
                  </c:pt>
                  <c:pt idx="83">
                    <c:v>2.545415979436285E-2</c:v>
                  </c:pt>
                  <c:pt idx="84">
                    <c:v>2.6561566088340045E-2</c:v>
                  </c:pt>
                  <c:pt idx="85">
                    <c:v>3.8253313671537198E-2</c:v>
                  </c:pt>
                  <c:pt idx="86">
                    <c:v>4.8503427505600119E-2</c:v>
                  </c:pt>
                  <c:pt idx="87">
                    <c:v>1.3601897557623002E-2</c:v>
                  </c:pt>
                  <c:pt idx="88">
                    <c:v>4.7189188235485114E-3</c:v>
                  </c:pt>
                  <c:pt idx="89">
                    <c:v>5.8163393555619005E-3</c:v>
                  </c:pt>
                  <c:pt idx="90">
                    <c:v>9.3090480463989492E-3</c:v>
                  </c:pt>
                  <c:pt idx="91">
                    <c:v>0.12513431684465282</c:v>
                  </c:pt>
                </c:numCache>
              </c:numRef>
            </c:plus>
            <c:minus>
              <c:numRef>
                <c:f>BatchFlow_free!$M:$M</c:f>
                <c:numCache>
                  <c:formatCode>General</c:formatCode>
                  <c:ptCount val="1048576"/>
                  <c:pt idx="2">
                    <c:v>2.0174756010612575E-2</c:v>
                  </c:pt>
                  <c:pt idx="3">
                    <c:v>2.5210560233475676E-2</c:v>
                  </c:pt>
                  <c:pt idx="4">
                    <c:v>2.2771528720353734E-2</c:v>
                  </c:pt>
                  <c:pt idx="5">
                    <c:v>2.1723840174655028E-2</c:v>
                  </c:pt>
                  <c:pt idx="6">
                    <c:v>2.0999813904192886E-2</c:v>
                  </c:pt>
                  <c:pt idx="7">
                    <c:v>2.2088723200774568E-2</c:v>
                  </c:pt>
                  <c:pt idx="8">
                    <c:v>3.2770213102727812E-2</c:v>
                  </c:pt>
                  <c:pt idx="9">
                    <c:v>4.5718438253024796E-2</c:v>
                  </c:pt>
                  <c:pt idx="10">
                    <c:v>4.5624832325629881E-2</c:v>
                  </c:pt>
                  <c:pt idx="11">
                    <c:v>4.2635467600926326E-2</c:v>
                  </c:pt>
                  <c:pt idx="12">
                    <c:v>4.2725671914812052E-2</c:v>
                  </c:pt>
                  <c:pt idx="13">
                    <c:v>2.8066433297748116E-2</c:v>
                  </c:pt>
                  <c:pt idx="14">
                    <c:v>2.3869752824487705E-2</c:v>
                  </c:pt>
                  <c:pt idx="15">
                    <c:v>2.3961594096143127E-2</c:v>
                  </c:pt>
                  <c:pt idx="16">
                    <c:v>1.539564272752296E-2</c:v>
                  </c:pt>
                  <c:pt idx="17">
                    <c:v>1.7074144354592206E-2</c:v>
                  </c:pt>
                  <c:pt idx="18">
                    <c:v>2.5155298301664131E-2</c:v>
                  </c:pt>
                  <c:pt idx="19">
                    <c:v>1.5565754350907856E-2</c:v>
                  </c:pt>
                  <c:pt idx="20">
                    <c:v>1.7209120685908196E-2</c:v>
                  </c:pt>
                  <c:pt idx="21">
                    <c:v>2.0219495126909928E-2</c:v>
                  </c:pt>
                  <c:pt idx="22">
                    <c:v>2.0533221050405455E-2</c:v>
                  </c:pt>
                  <c:pt idx="23">
                    <c:v>2.535289986059586E-2</c:v>
                  </c:pt>
                  <c:pt idx="24">
                    <c:v>2.2699070325238643E-2</c:v>
                  </c:pt>
                  <c:pt idx="25">
                    <c:v>2.0079473876347731E-2</c:v>
                  </c:pt>
                  <c:pt idx="26">
                    <c:v>1.8712478150941864E-2</c:v>
                  </c:pt>
                  <c:pt idx="27">
                    <c:v>1.9656922037969017E-2</c:v>
                  </c:pt>
                  <c:pt idx="28">
                    <c:v>2.0381543995410777E-2</c:v>
                  </c:pt>
                  <c:pt idx="29">
                    <c:v>2.0131151943500097E-2</c:v>
                  </c:pt>
                  <c:pt idx="30">
                    <c:v>6.4862990123247645E-3</c:v>
                  </c:pt>
                  <c:pt idx="31">
                    <c:v>1.0504625175761574E-2</c:v>
                  </c:pt>
                  <c:pt idx="32">
                    <c:v>1.8094111100573827E-2</c:v>
                  </c:pt>
                  <c:pt idx="33">
                    <c:v>2.6050274405403539E-2</c:v>
                  </c:pt>
                  <c:pt idx="34">
                    <c:v>2.5696671279562475E-2</c:v>
                  </c:pt>
                  <c:pt idx="35">
                    <c:v>3.3979659001963584E-2</c:v>
                  </c:pt>
                  <c:pt idx="36">
                    <c:v>2.9061395740941087E-2</c:v>
                  </c:pt>
                  <c:pt idx="37">
                    <c:v>2.7174075915698686E-2</c:v>
                  </c:pt>
                  <c:pt idx="38">
                    <c:v>2.6067131721473222E-2</c:v>
                  </c:pt>
                  <c:pt idx="39">
                    <c:v>2.5581691416363694E-2</c:v>
                  </c:pt>
                  <c:pt idx="40">
                    <c:v>3.1296619344388134E-2</c:v>
                  </c:pt>
                  <c:pt idx="41">
                    <c:v>3.1022744112986143E-2</c:v>
                  </c:pt>
                  <c:pt idx="42">
                    <c:v>3.6493658250334522E-2</c:v>
                  </c:pt>
                  <c:pt idx="43">
                    <c:v>3.436233560297567E-2</c:v>
                  </c:pt>
                  <c:pt idx="44">
                    <c:v>3.4623555556953373E-2</c:v>
                  </c:pt>
                  <c:pt idx="45">
                    <c:v>3.4810353636783385E-2</c:v>
                  </c:pt>
                  <c:pt idx="46">
                    <c:v>2.7264242887718369E-2</c:v>
                  </c:pt>
                  <c:pt idx="47">
                    <c:v>2.9935850159876352E-2</c:v>
                  </c:pt>
                  <c:pt idx="48">
                    <c:v>3.2938573874406109E-2</c:v>
                  </c:pt>
                  <c:pt idx="49">
                    <c:v>3.3403386498731355E-2</c:v>
                  </c:pt>
                  <c:pt idx="50">
                    <c:v>4.1477768411739308E-2</c:v>
                  </c:pt>
                  <c:pt idx="51">
                    <c:v>3.4889086780671194E-2</c:v>
                  </c:pt>
                  <c:pt idx="52">
                    <c:v>3.1471485690307464E-2</c:v>
                  </c:pt>
                  <c:pt idx="53">
                    <c:v>2.842873339112599E-2</c:v>
                  </c:pt>
                  <c:pt idx="54">
                    <c:v>3.2243699992981316E-2</c:v>
                  </c:pt>
                  <c:pt idx="55">
                    <c:v>3.3616578339618328E-2</c:v>
                  </c:pt>
                  <c:pt idx="56">
                    <c:v>3.5414417545449675E-2</c:v>
                  </c:pt>
                  <c:pt idx="57">
                    <c:v>2.5359317366966925E-2</c:v>
                  </c:pt>
                  <c:pt idx="58">
                    <c:v>3.7006806098002339E-2</c:v>
                  </c:pt>
                  <c:pt idx="59">
                    <c:v>3.6880104170118631E-2</c:v>
                  </c:pt>
                  <c:pt idx="60">
                    <c:v>5.0873290252486048E-2</c:v>
                  </c:pt>
                  <c:pt idx="61">
                    <c:v>5.530138588703816E-2</c:v>
                  </c:pt>
                  <c:pt idx="62">
                    <c:v>3.9010229195811902E-2</c:v>
                  </c:pt>
                  <c:pt idx="63">
                    <c:v>3.1504336746168163E-2</c:v>
                  </c:pt>
                  <c:pt idx="64">
                    <c:v>3.4150063529979686E-2</c:v>
                  </c:pt>
                  <c:pt idx="65">
                    <c:v>2.9663320248185267E-2</c:v>
                  </c:pt>
                  <c:pt idx="66">
                    <c:v>5.4490972757104544E-2</c:v>
                  </c:pt>
                  <c:pt idx="67">
                    <c:v>5.0214502030963518E-2</c:v>
                  </c:pt>
                  <c:pt idx="68">
                    <c:v>2.7459459542189844E-2</c:v>
                  </c:pt>
                  <c:pt idx="69">
                    <c:v>1.338818577600737E-2</c:v>
                  </c:pt>
                  <c:pt idx="70">
                    <c:v>5.6600169259926003E-2</c:v>
                  </c:pt>
                  <c:pt idx="71">
                    <c:v>1.1420897472441986E-2</c:v>
                  </c:pt>
                  <c:pt idx="72">
                    <c:v>3.3001645537668302E-2</c:v>
                  </c:pt>
                  <c:pt idx="73">
                    <c:v>4.2291485240488216E-2</c:v>
                  </c:pt>
                  <c:pt idx="74">
                    <c:v>2.6246262224861715E-2</c:v>
                  </c:pt>
                  <c:pt idx="75">
                    <c:v>3.5524093628191387E-2</c:v>
                  </c:pt>
                  <c:pt idx="76">
                    <c:v>2.8414128579399775E-2</c:v>
                  </c:pt>
                  <c:pt idx="77">
                    <c:v>2.2358641467799891E-2</c:v>
                  </c:pt>
                  <c:pt idx="78">
                    <c:v>2.0624170051839134E-2</c:v>
                  </c:pt>
                  <c:pt idx="79">
                    <c:v>2.5522052651958484E-2</c:v>
                  </c:pt>
                  <c:pt idx="80">
                    <c:v>4.1525426966954125E-2</c:v>
                  </c:pt>
                  <c:pt idx="81">
                    <c:v>5.1268428566287418E-2</c:v>
                  </c:pt>
                  <c:pt idx="82">
                    <c:v>4.0767247984282912E-2</c:v>
                  </c:pt>
                  <c:pt idx="83">
                    <c:v>2.545415979436285E-2</c:v>
                  </c:pt>
                  <c:pt idx="84">
                    <c:v>2.6561566088340045E-2</c:v>
                  </c:pt>
                  <c:pt idx="85">
                    <c:v>3.8253313671537198E-2</c:v>
                  </c:pt>
                  <c:pt idx="86">
                    <c:v>4.8503427505600119E-2</c:v>
                  </c:pt>
                  <c:pt idx="87">
                    <c:v>1.3601897557623002E-2</c:v>
                  </c:pt>
                  <c:pt idx="88">
                    <c:v>4.7189188235485114E-3</c:v>
                  </c:pt>
                  <c:pt idx="89">
                    <c:v>5.8163393555619005E-3</c:v>
                  </c:pt>
                  <c:pt idx="90">
                    <c:v>9.3090480463989492E-3</c:v>
                  </c:pt>
                  <c:pt idx="91">
                    <c:v>0.12513431684465282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BatchFlow_free!$A$1:$A$106</c:f>
              <c:strCache>
                <c:ptCount val="106"/>
                <c:pt idx="0">
                  <c:v>Sample 1</c:v>
                </c:pt>
                <c:pt idx="1">
                  <c:v>Time (min)</c:v>
                </c:pt>
                <c:pt idx="2">
                  <c:v>0.016666668</c:v>
                </c:pt>
                <c:pt idx="3">
                  <c:v>0.050000001</c:v>
                </c:pt>
                <c:pt idx="4">
                  <c:v>0.083333336</c:v>
                </c:pt>
                <c:pt idx="5">
                  <c:v>0.116666667</c:v>
                </c:pt>
                <c:pt idx="6">
                  <c:v>0.150000006</c:v>
                </c:pt>
                <c:pt idx="7">
                  <c:v>0.183333337</c:v>
                </c:pt>
                <c:pt idx="8">
                  <c:v>0.216666669</c:v>
                </c:pt>
                <c:pt idx="9">
                  <c:v>0.25</c:v>
                </c:pt>
                <c:pt idx="10">
                  <c:v>0.283333361</c:v>
                </c:pt>
                <c:pt idx="11">
                  <c:v>0.316666693</c:v>
                </c:pt>
                <c:pt idx="12">
                  <c:v>0.350000024</c:v>
                </c:pt>
                <c:pt idx="13">
                  <c:v>0.383333355</c:v>
                </c:pt>
                <c:pt idx="14">
                  <c:v>0.416666687</c:v>
                </c:pt>
                <c:pt idx="15">
                  <c:v>0.450000018</c:v>
                </c:pt>
                <c:pt idx="16">
                  <c:v>0.483333349</c:v>
                </c:pt>
                <c:pt idx="17">
                  <c:v>0.516666651</c:v>
                </c:pt>
                <c:pt idx="18">
                  <c:v>0.550000012</c:v>
                </c:pt>
                <c:pt idx="19">
                  <c:v>0.583333314</c:v>
                </c:pt>
                <c:pt idx="20">
                  <c:v>0.616666675</c:v>
                </c:pt>
                <c:pt idx="21">
                  <c:v>0.649999976</c:v>
                </c:pt>
                <c:pt idx="22">
                  <c:v>0.683333337</c:v>
                </c:pt>
                <c:pt idx="23">
                  <c:v>0.716666639</c:v>
                </c:pt>
                <c:pt idx="24">
                  <c:v>0.75</c:v>
                </c:pt>
                <c:pt idx="25">
                  <c:v>0.783333302</c:v>
                </c:pt>
                <c:pt idx="26">
                  <c:v>0.816666663</c:v>
                </c:pt>
                <c:pt idx="27">
                  <c:v>0.849999964</c:v>
                </c:pt>
                <c:pt idx="28">
                  <c:v>0.883333325</c:v>
                </c:pt>
                <c:pt idx="29">
                  <c:v>0.916666627</c:v>
                </c:pt>
                <c:pt idx="30">
                  <c:v>0.949999988</c:v>
                </c:pt>
                <c:pt idx="31">
                  <c:v>0.98333329</c:v>
                </c:pt>
                <c:pt idx="32">
                  <c:v>1.016666651</c:v>
                </c:pt>
                <c:pt idx="33">
                  <c:v>1.049999952</c:v>
                </c:pt>
                <c:pt idx="34">
                  <c:v>1.083333373</c:v>
                </c:pt>
                <c:pt idx="35">
                  <c:v>1.116666675</c:v>
                </c:pt>
                <c:pt idx="36">
                  <c:v>1.149999976</c:v>
                </c:pt>
                <c:pt idx="37">
                  <c:v>1.183333278</c:v>
                </c:pt>
                <c:pt idx="38">
                  <c:v>1.216666698</c:v>
                </c:pt>
                <c:pt idx="39">
                  <c:v>1.25</c:v>
                </c:pt>
                <c:pt idx="40">
                  <c:v>1.283333302</c:v>
                </c:pt>
                <c:pt idx="41">
                  <c:v>1.316666603</c:v>
                </c:pt>
                <c:pt idx="42">
                  <c:v>1.350000024</c:v>
                </c:pt>
                <c:pt idx="43">
                  <c:v>1.383333325</c:v>
                </c:pt>
                <c:pt idx="44">
                  <c:v>1.416666627</c:v>
                </c:pt>
                <c:pt idx="45">
                  <c:v>1.449999928</c:v>
                </c:pt>
                <c:pt idx="46">
                  <c:v>1.483333349</c:v>
                </c:pt>
                <c:pt idx="47">
                  <c:v>1.516666651</c:v>
                </c:pt>
                <c:pt idx="48">
                  <c:v>1.549999952</c:v>
                </c:pt>
                <c:pt idx="49">
                  <c:v>1.583333373</c:v>
                </c:pt>
                <c:pt idx="50">
                  <c:v>1.616666675</c:v>
                </c:pt>
                <c:pt idx="51">
                  <c:v>1.649999976</c:v>
                </c:pt>
                <c:pt idx="52">
                  <c:v>1.683333278</c:v>
                </c:pt>
                <c:pt idx="53">
                  <c:v>1.716666698</c:v>
                </c:pt>
                <c:pt idx="54">
                  <c:v>1.75</c:v>
                </c:pt>
                <c:pt idx="55">
                  <c:v>1.783333302</c:v>
                </c:pt>
                <c:pt idx="56">
                  <c:v>1.816666603</c:v>
                </c:pt>
                <c:pt idx="57">
                  <c:v>1.850000024</c:v>
                </c:pt>
                <c:pt idx="58">
                  <c:v>1.883333325</c:v>
                </c:pt>
                <c:pt idx="59">
                  <c:v>1.916666627</c:v>
                </c:pt>
                <c:pt idx="60">
                  <c:v>1.949999928</c:v>
                </c:pt>
                <c:pt idx="61">
                  <c:v>1.983333349</c:v>
                </c:pt>
                <c:pt idx="62">
                  <c:v>2.016666651</c:v>
                </c:pt>
                <c:pt idx="63">
                  <c:v>2.049999952</c:v>
                </c:pt>
                <c:pt idx="64">
                  <c:v>2.083333254</c:v>
                </c:pt>
                <c:pt idx="65">
                  <c:v>2.116666555</c:v>
                </c:pt>
                <c:pt idx="66">
                  <c:v>2.150000095</c:v>
                </c:pt>
                <c:pt idx="67">
                  <c:v>2.183333397</c:v>
                </c:pt>
                <c:pt idx="68">
                  <c:v>2.216666698</c:v>
                </c:pt>
                <c:pt idx="69">
                  <c:v>2.25</c:v>
                </c:pt>
                <c:pt idx="70">
                  <c:v>2.283333302</c:v>
                </c:pt>
                <c:pt idx="71">
                  <c:v>2.316666603</c:v>
                </c:pt>
                <c:pt idx="72">
                  <c:v>2.349999905</c:v>
                </c:pt>
                <c:pt idx="73">
                  <c:v>2.383333206</c:v>
                </c:pt>
                <c:pt idx="74">
                  <c:v>2.416666746</c:v>
                </c:pt>
                <c:pt idx="75">
                  <c:v>2.450000048</c:v>
                </c:pt>
                <c:pt idx="76">
                  <c:v>2.483333349</c:v>
                </c:pt>
                <c:pt idx="77">
                  <c:v>2.516666651</c:v>
                </c:pt>
                <c:pt idx="78">
                  <c:v>2.549999952</c:v>
                </c:pt>
                <c:pt idx="79">
                  <c:v>2.583333254</c:v>
                </c:pt>
                <c:pt idx="80">
                  <c:v>2.616666555</c:v>
                </c:pt>
                <c:pt idx="81">
                  <c:v>2.650000095</c:v>
                </c:pt>
                <c:pt idx="82">
                  <c:v>2.683333397</c:v>
                </c:pt>
                <c:pt idx="83">
                  <c:v>2.716666698</c:v>
                </c:pt>
                <c:pt idx="84">
                  <c:v>2.75</c:v>
                </c:pt>
                <c:pt idx="85">
                  <c:v>2.783333302</c:v>
                </c:pt>
                <c:pt idx="86">
                  <c:v>2.816666603</c:v>
                </c:pt>
                <c:pt idx="87">
                  <c:v>2.849999905</c:v>
                </c:pt>
                <c:pt idx="88">
                  <c:v>2.883333206</c:v>
                </c:pt>
                <c:pt idx="89">
                  <c:v>2.916666746</c:v>
                </c:pt>
                <c:pt idx="90">
                  <c:v>2.950000048</c:v>
                </c:pt>
                <c:pt idx="91">
                  <c:v>2.983333349</c:v>
                </c:pt>
                <c:pt idx="92">
                  <c:v>3.016666651</c:v>
                </c:pt>
                <c:pt idx="93">
                  <c:v>3.049999952</c:v>
                </c:pt>
                <c:pt idx="94">
                  <c:v>3.083333254</c:v>
                </c:pt>
                <c:pt idx="95">
                  <c:v>3.116666555</c:v>
                </c:pt>
                <c:pt idx="96">
                  <c:v>3.150000095</c:v>
                </c:pt>
                <c:pt idx="97">
                  <c:v>3.183333397</c:v>
                </c:pt>
                <c:pt idx="98">
                  <c:v>3.216666698</c:v>
                </c:pt>
                <c:pt idx="99">
                  <c:v>3.25</c:v>
                </c:pt>
                <c:pt idx="100">
                  <c:v>3.283333302</c:v>
                </c:pt>
                <c:pt idx="101">
                  <c:v>3.316666603</c:v>
                </c:pt>
                <c:pt idx="102">
                  <c:v>3.349999905</c:v>
                </c:pt>
                <c:pt idx="103">
                  <c:v>3.383333206</c:v>
                </c:pt>
                <c:pt idx="104">
                  <c:v>3.416666746</c:v>
                </c:pt>
                <c:pt idx="105">
                  <c:v>3.450000048</c:v>
                </c:pt>
              </c:strCache>
            </c:strRef>
          </c:xVal>
          <c:yVal>
            <c:numRef>
              <c:f>BatchFlow_free!$L:$L</c:f>
              <c:numCache>
                <c:formatCode>General</c:formatCode>
                <c:ptCount val="1048576"/>
                <c:pt idx="2">
                  <c:v>1.9001548990000002E-2</c:v>
                </c:pt>
                <c:pt idx="3">
                  <c:v>2.0207058426666664E-2</c:v>
                </c:pt>
                <c:pt idx="4">
                  <c:v>2.3958532346666662E-2</c:v>
                </c:pt>
                <c:pt idx="5">
                  <c:v>3.1460436969999998E-2</c:v>
                </c:pt>
                <c:pt idx="6">
                  <c:v>2.9617593336666668E-2</c:v>
                </c:pt>
                <c:pt idx="7">
                  <c:v>3.3529351056666663E-2</c:v>
                </c:pt>
                <c:pt idx="8">
                  <c:v>6.4536840999999998E-2</c:v>
                </c:pt>
                <c:pt idx="9">
                  <c:v>0.12776250636666667</c:v>
                </c:pt>
                <c:pt idx="10">
                  <c:v>0.20409150396666667</c:v>
                </c:pt>
                <c:pt idx="11">
                  <c:v>0.24677381596666667</c:v>
                </c:pt>
                <c:pt idx="12">
                  <c:v>0.27076272669999996</c:v>
                </c:pt>
                <c:pt idx="13">
                  <c:v>0.27872408929999998</c:v>
                </c:pt>
                <c:pt idx="14">
                  <c:v>0.28453166680000003</c:v>
                </c:pt>
                <c:pt idx="15">
                  <c:v>0.2870317356</c:v>
                </c:pt>
                <c:pt idx="16">
                  <c:v>0.28532051626666671</c:v>
                </c:pt>
                <c:pt idx="17">
                  <c:v>0.28752194276666665</c:v>
                </c:pt>
                <c:pt idx="18">
                  <c:v>0.28713952866666664</c:v>
                </c:pt>
                <c:pt idx="19">
                  <c:v>0.2910687974333333</c:v>
                </c:pt>
                <c:pt idx="20">
                  <c:v>0.29582176029999996</c:v>
                </c:pt>
                <c:pt idx="21">
                  <c:v>0.31192338836666667</c:v>
                </c:pt>
                <c:pt idx="22">
                  <c:v>0.33420738946666662</c:v>
                </c:pt>
                <c:pt idx="23">
                  <c:v>0.35097514066666663</c:v>
                </c:pt>
                <c:pt idx="24">
                  <c:v>0.3783166462</c:v>
                </c:pt>
                <c:pt idx="25">
                  <c:v>0.39406695366666672</c:v>
                </c:pt>
                <c:pt idx="26">
                  <c:v>0.4146008719</c:v>
                </c:pt>
                <c:pt idx="27">
                  <c:v>0.43760198886666668</c:v>
                </c:pt>
                <c:pt idx="28">
                  <c:v>0.46102625486666665</c:v>
                </c:pt>
                <c:pt idx="29">
                  <c:v>0.4729174102</c:v>
                </c:pt>
                <c:pt idx="30">
                  <c:v>0.49350148016666667</c:v>
                </c:pt>
                <c:pt idx="31">
                  <c:v>0.50049617589999995</c:v>
                </c:pt>
                <c:pt idx="32">
                  <c:v>0.50623326006666669</c:v>
                </c:pt>
                <c:pt idx="33">
                  <c:v>0.51510276933333332</c:v>
                </c:pt>
                <c:pt idx="34">
                  <c:v>0.5267427907333333</c:v>
                </c:pt>
                <c:pt idx="35">
                  <c:v>0.54778913996666667</c:v>
                </c:pt>
                <c:pt idx="36">
                  <c:v>0.5567740730666666</c:v>
                </c:pt>
                <c:pt idx="37">
                  <c:v>0.56675053089999994</c:v>
                </c:pt>
                <c:pt idx="38">
                  <c:v>0.5813166466666666</c:v>
                </c:pt>
                <c:pt idx="39">
                  <c:v>0.59517362269999996</c:v>
                </c:pt>
                <c:pt idx="40">
                  <c:v>0.60938815773333332</c:v>
                </c:pt>
                <c:pt idx="41">
                  <c:v>0.61755360626666667</c:v>
                </c:pt>
                <c:pt idx="42">
                  <c:v>0.63327492863333334</c:v>
                </c:pt>
                <c:pt idx="43">
                  <c:v>0.64583666796666661</c:v>
                </c:pt>
                <c:pt idx="44">
                  <c:v>0.65592368869999995</c:v>
                </c:pt>
                <c:pt idx="45">
                  <c:v>0.66636773356666668</c:v>
                </c:pt>
                <c:pt idx="46">
                  <c:v>0.6839481664</c:v>
                </c:pt>
                <c:pt idx="47">
                  <c:v>0.69759327819999994</c:v>
                </c:pt>
                <c:pt idx="48">
                  <c:v>0.71711665700000005</c:v>
                </c:pt>
                <c:pt idx="49">
                  <c:v>0.72803398526666674</c:v>
                </c:pt>
                <c:pt idx="50">
                  <c:v>0.7491757134</c:v>
                </c:pt>
                <c:pt idx="51">
                  <c:v>0.75708997693333335</c:v>
                </c:pt>
                <c:pt idx="52">
                  <c:v>0.76293170916666664</c:v>
                </c:pt>
                <c:pt idx="53">
                  <c:v>0.77232401266666673</c:v>
                </c:pt>
                <c:pt idx="54">
                  <c:v>0.79335656386666675</c:v>
                </c:pt>
                <c:pt idx="55">
                  <c:v>0.79677623956666677</c:v>
                </c:pt>
                <c:pt idx="56">
                  <c:v>0.80791455869999995</c:v>
                </c:pt>
                <c:pt idx="57">
                  <c:v>0.81018019113333339</c:v>
                </c:pt>
                <c:pt idx="58">
                  <c:v>0.83518779819999989</c:v>
                </c:pt>
                <c:pt idx="59">
                  <c:v>0.84559268173333335</c:v>
                </c:pt>
                <c:pt idx="60">
                  <c:v>0.82456023010000001</c:v>
                </c:pt>
                <c:pt idx="61">
                  <c:v>0.83032340313333342</c:v>
                </c:pt>
                <c:pt idx="62">
                  <c:v>0.88120666759999988</c:v>
                </c:pt>
                <c:pt idx="63">
                  <c:v>0.8753026801499999</c:v>
                </c:pt>
                <c:pt idx="64">
                  <c:v>0.89202649150000002</c:v>
                </c:pt>
                <c:pt idx="65">
                  <c:v>0.90376136489999992</c:v>
                </c:pt>
                <c:pt idx="66">
                  <c:v>0.93670142634999998</c:v>
                </c:pt>
                <c:pt idx="67">
                  <c:v>0.93251634490000002</c:v>
                </c:pt>
                <c:pt idx="68">
                  <c:v>0.94396005004999994</c:v>
                </c:pt>
                <c:pt idx="69">
                  <c:v>0.93668628694999989</c:v>
                </c:pt>
                <c:pt idx="70">
                  <c:v>0.96720565349999998</c:v>
                </c:pt>
                <c:pt idx="71">
                  <c:v>0.95462892404999999</c:v>
                </c:pt>
                <c:pt idx="72">
                  <c:v>0.96968180734999998</c:v>
                </c:pt>
                <c:pt idx="73">
                  <c:v>0.98817146600000005</c:v>
                </c:pt>
                <c:pt idx="74">
                  <c:v>0.9890304299999999</c:v>
                </c:pt>
                <c:pt idx="75">
                  <c:v>1.0207628975</c:v>
                </c:pt>
                <c:pt idx="76">
                  <c:v>1.019697973</c:v>
                </c:pt>
                <c:pt idx="77">
                  <c:v>1.0290231169999999</c:v>
                </c:pt>
                <c:pt idx="78">
                  <c:v>1.0510204805000001</c:v>
                </c:pt>
                <c:pt idx="79">
                  <c:v>1.0547919664999998</c:v>
                </c:pt>
                <c:pt idx="80">
                  <c:v>1.0543942509999999</c:v>
                </c:pt>
                <c:pt idx="81">
                  <c:v>1.0862802335000001</c:v>
                </c:pt>
                <c:pt idx="82">
                  <c:v>1.0906153075</c:v>
                </c:pt>
                <c:pt idx="83">
                  <c:v>1.1094528490000002</c:v>
                </c:pt>
                <c:pt idx="84">
                  <c:v>1.1261704335</c:v>
                </c:pt>
                <c:pt idx="85">
                  <c:v>1.1268271274999999</c:v>
                </c:pt>
                <c:pt idx="86">
                  <c:v>1.1196379725000001</c:v>
                </c:pt>
                <c:pt idx="87">
                  <c:v>1.1239753459999999</c:v>
                </c:pt>
                <c:pt idx="88">
                  <c:v>1.1502960994999998</c:v>
                </c:pt>
                <c:pt idx="89">
                  <c:v>1.1644821830000001</c:v>
                </c:pt>
                <c:pt idx="90">
                  <c:v>1.119795211</c:v>
                </c:pt>
                <c:pt idx="91">
                  <c:v>1.140530834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04-F949-BE79-A458BA92A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828144"/>
        <c:axId val="524847984"/>
      </c:scatterChart>
      <c:valAx>
        <c:axId val="524828144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847984"/>
        <c:crosses val="autoZero"/>
        <c:crossBetween val="midCat"/>
      </c:valAx>
      <c:valAx>
        <c:axId val="52484798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 (245 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828144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642288196298385"/>
          <c:y val="0.10226851851851854"/>
          <c:w val="0.78453558373317644"/>
          <c:h val="0.66472477398658503"/>
        </c:manualLayout>
      </c:layout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BatchFlow_free!$AU:$AU</c:f>
              <c:strCache>
                <c:ptCount val="131"/>
                <c:pt idx="0">
                  <c:v>Sample 1</c:v>
                </c:pt>
                <c:pt idx="1">
                  <c:v>Time (min)</c:v>
                </c:pt>
                <c:pt idx="2">
                  <c:v>0.00833333</c:v>
                </c:pt>
                <c:pt idx="3">
                  <c:v>0.025</c:v>
                </c:pt>
                <c:pt idx="4">
                  <c:v>0.04166667</c:v>
                </c:pt>
                <c:pt idx="5">
                  <c:v>0.05833333</c:v>
                </c:pt>
                <c:pt idx="6">
                  <c:v>0.075</c:v>
                </c:pt>
                <c:pt idx="7">
                  <c:v>0.09166667</c:v>
                </c:pt>
                <c:pt idx="8">
                  <c:v>0.10833333</c:v>
                </c:pt>
                <c:pt idx="9">
                  <c:v>0.125</c:v>
                </c:pt>
                <c:pt idx="10">
                  <c:v>0.14166668</c:v>
                </c:pt>
                <c:pt idx="11">
                  <c:v>0.15833335</c:v>
                </c:pt>
                <c:pt idx="12">
                  <c:v>0.17500001</c:v>
                </c:pt>
                <c:pt idx="13">
                  <c:v>0.19166668</c:v>
                </c:pt>
                <c:pt idx="14">
                  <c:v>0.20833334</c:v>
                </c:pt>
                <c:pt idx="15">
                  <c:v>0.22500001</c:v>
                </c:pt>
                <c:pt idx="16">
                  <c:v>0.24166667</c:v>
                </c:pt>
                <c:pt idx="17">
                  <c:v>0.25833333</c:v>
                </c:pt>
                <c:pt idx="18">
                  <c:v>0.27500001</c:v>
                </c:pt>
                <c:pt idx="19">
                  <c:v>0.29166666</c:v>
                </c:pt>
                <c:pt idx="20">
                  <c:v>0.30833334</c:v>
                </c:pt>
                <c:pt idx="21">
                  <c:v>0.32499999</c:v>
                </c:pt>
                <c:pt idx="22">
                  <c:v>0.34166667</c:v>
                </c:pt>
                <c:pt idx="23">
                  <c:v>0.35833332</c:v>
                </c:pt>
                <c:pt idx="24">
                  <c:v>0.375</c:v>
                </c:pt>
                <c:pt idx="25">
                  <c:v>0.39166665</c:v>
                </c:pt>
                <c:pt idx="26">
                  <c:v>0.40833333</c:v>
                </c:pt>
                <c:pt idx="27">
                  <c:v>0.42499998</c:v>
                </c:pt>
                <c:pt idx="28">
                  <c:v>0.44166666</c:v>
                </c:pt>
                <c:pt idx="29">
                  <c:v>0.45833331</c:v>
                </c:pt>
                <c:pt idx="30">
                  <c:v>0.47499999</c:v>
                </c:pt>
                <c:pt idx="31">
                  <c:v>0.49166664</c:v>
                </c:pt>
                <c:pt idx="32">
                  <c:v>0.50833333</c:v>
                </c:pt>
                <c:pt idx="33">
                  <c:v>0.52499998</c:v>
                </c:pt>
                <c:pt idx="34">
                  <c:v>0.54166669</c:v>
                </c:pt>
                <c:pt idx="35">
                  <c:v>0.55833334</c:v>
                </c:pt>
                <c:pt idx="36">
                  <c:v>0.57499999</c:v>
                </c:pt>
                <c:pt idx="37">
                  <c:v>0.59166664</c:v>
                </c:pt>
                <c:pt idx="38">
                  <c:v>0.60833335</c:v>
                </c:pt>
                <c:pt idx="39">
                  <c:v>0.625</c:v>
                </c:pt>
                <c:pt idx="40">
                  <c:v>0.64166665</c:v>
                </c:pt>
                <c:pt idx="41">
                  <c:v>0.6583333</c:v>
                </c:pt>
                <c:pt idx="42">
                  <c:v>0.67500001</c:v>
                </c:pt>
                <c:pt idx="43">
                  <c:v>0.69166666</c:v>
                </c:pt>
                <c:pt idx="44">
                  <c:v>0.70833331</c:v>
                </c:pt>
                <c:pt idx="45">
                  <c:v>0.72499996</c:v>
                </c:pt>
                <c:pt idx="46">
                  <c:v>0.74166667</c:v>
                </c:pt>
                <c:pt idx="47">
                  <c:v>0.75833333</c:v>
                </c:pt>
                <c:pt idx="48">
                  <c:v>0.77499998</c:v>
                </c:pt>
                <c:pt idx="49">
                  <c:v>0.79166669</c:v>
                </c:pt>
                <c:pt idx="50">
                  <c:v>0.80833334</c:v>
                </c:pt>
                <c:pt idx="51">
                  <c:v>0.82499999</c:v>
                </c:pt>
                <c:pt idx="52">
                  <c:v>0.84166664</c:v>
                </c:pt>
                <c:pt idx="53">
                  <c:v>0.85833335</c:v>
                </c:pt>
                <c:pt idx="54">
                  <c:v>0.875</c:v>
                </c:pt>
                <c:pt idx="55">
                  <c:v>0.89166665</c:v>
                </c:pt>
                <c:pt idx="56">
                  <c:v>0.9083333</c:v>
                </c:pt>
                <c:pt idx="57">
                  <c:v>0.92500001</c:v>
                </c:pt>
                <c:pt idx="58">
                  <c:v>0.94166666</c:v>
                </c:pt>
                <c:pt idx="59">
                  <c:v>0.95833331</c:v>
                </c:pt>
                <c:pt idx="60">
                  <c:v>0.97499996</c:v>
                </c:pt>
                <c:pt idx="61">
                  <c:v>0.99166667</c:v>
                </c:pt>
                <c:pt idx="62">
                  <c:v>1.00833333</c:v>
                </c:pt>
                <c:pt idx="63">
                  <c:v>1.02499998</c:v>
                </c:pt>
                <c:pt idx="64">
                  <c:v>1.04166663</c:v>
                </c:pt>
                <c:pt idx="65">
                  <c:v>1.05833328</c:v>
                </c:pt>
                <c:pt idx="66">
                  <c:v>1.07500005</c:v>
                </c:pt>
                <c:pt idx="67">
                  <c:v>1.0916667</c:v>
                </c:pt>
                <c:pt idx="68">
                  <c:v>1.10833335</c:v>
                </c:pt>
                <c:pt idx="69">
                  <c:v>1.125</c:v>
                </c:pt>
                <c:pt idx="70">
                  <c:v>1.14166665</c:v>
                </c:pt>
                <c:pt idx="71">
                  <c:v>1.1583333</c:v>
                </c:pt>
                <c:pt idx="72">
                  <c:v>1.17499995</c:v>
                </c:pt>
                <c:pt idx="73">
                  <c:v>1.1916666</c:v>
                </c:pt>
                <c:pt idx="74">
                  <c:v>1.20833337</c:v>
                </c:pt>
                <c:pt idx="75">
                  <c:v>1.22500002</c:v>
                </c:pt>
                <c:pt idx="76">
                  <c:v>1.24166668</c:v>
                </c:pt>
                <c:pt idx="77">
                  <c:v>1.25833333</c:v>
                </c:pt>
                <c:pt idx="78">
                  <c:v>1.27499998</c:v>
                </c:pt>
                <c:pt idx="79">
                  <c:v>1.29166663</c:v>
                </c:pt>
                <c:pt idx="80">
                  <c:v>1.30833328</c:v>
                </c:pt>
                <c:pt idx="81">
                  <c:v>1.32500005</c:v>
                </c:pt>
                <c:pt idx="82">
                  <c:v>1.3416667</c:v>
                </c:pt>
                <c:pt idx="83">
                  <c:v>1.35833335</c:v>
                </c:pt>
                <c:pt idx="84">
                  <c:v>1.375</c:v>
                </c:pt>
                <c:pt idx="85">
                  <c:v>1.39166665</c:v>
                </c:pt>
                <c:pt idx="86">
                  <c:v>1.4083333</c:v>
                </c:pt>
                <c:pt idx="87">
                  <c:v>1.42499995</c:v>
                </c:pt>
                <c:pt idx="88">
                  <c:v>1.4416666</c:v>
                </c:pt>
                <c:pt idx="89">
                  <c:v>1.45833337</c:v>
                </c:pt>
                <c:pt idx="90">
                  <c:v>1.47500002</c:v>
                </c:pt>
                <c:pt idx="91">
                  <c:v>1.49166668</c:v>
                </c:pt>
                <c:pt idx="92">
                  <c:v>1.50833333</c:v>
                </c:pt>
                <c:pt idx="93">
                  <c:v>1.52499998</c:v>
                </c:pt>
                <c:pt idx="94">
                  <c:v>1.54166663</c:v>
                </c:pt>
                <c:pt idx="95">
                  <c:v>1.55833328</c:v>
                </c:pt>
                <c:pt idx="96">
                  <c:v>1.57500005</c:v>
                </c:pt>
                <c:pt idx="97">
                  <c:v>1.5916667</c:v>
                </c:pt>
                <c:pt idx="98">
                  <c:v>1.60833335</c:v>
                </c:pt>
                <c:pt idx="99">
                  <c:v>1.625</c:v>
                </c:pt>
                <c:pt idx="100">
                  <c:v>1.64166665</c:v>
                </c:pt>
                <c:pt idx="101">
                  <c:v>1.6583333</c:v>
                </c:pt>
                <c:pt idx="102">
                  <c:v>1.67499995</c:v>
                </c:pt>
                <c:pt idx="103">
                  <c:v>1.6916666</c:v>
                </c:pt>
                <c:pt idx="104">
                  <c:v>1.70833337</c:v>
                </c:pt>
                <c:pt idx="106">
                  <c:v>Sample 1</c:v>
                </c:pt>
                <c:pt idx="107">
                  <c:v>Sample 1</c:v>
                </c:pt>
                <c:pt idx="108">
                  <c:v>Collection Time: 04-Jun-25 6:01:32 PM</c:v>
                </c:pt>
                <c:pt idx="109">
                  <c:v>Operator Name  :</c:v>
                </c:pt>
                <c:pt idx="110">
                  <c:v>Kinetics Version 5.1.3.1042</c:v>
                </c:pt>
                <c:pt idx="111">
                  <c:v>Parameter List :</c:v>
                </c:pt>
                <c:pt idx="112">
                  <c:v>Instrument  Cary 60</c:v>
                </c:pt>
                <c:pt idx="113">
                  <c:v>Instrument version  2.00</c:v>
                </c:pt>
                <c:pt idx="114">
                  <c:v>Wavelength (nm)  245.0</c:v>
                </c:pt>
                <c:pt idx="115">
                  <c:v>Ordinate mode  Abs</c:v>
                </c:pt>
                <c:pt idx="116">
                  <c:v>Ave Time (sec)  1.0005</c:v>
                </c:pt>
                <c:pt idx="117">
                  <c:v>Cycle Time(min)  0.00</c:v>
                </c:pt>
                <c:pt idx="118">
                  <c:v>Stop Time(min)  2.00</c:v>
                </c:pt>
                <c:pt idx="119">
                  <c:v>Number of Samples  1</c:v>
                </c:pt>
                <c:pt idx="120">
                  <c:v>Display Options  Individual Data</c:v>
                </c:pt>
                <c:pt idx="121">
                  <c:v>Method Log     :</c:v>
                </c:pt>
                <c:pt idx="122">
                  <c:v>Method Name    :</c:v>
                </c:pt>
                <c:pt idx="123">
                  <c:v>Date/Time stamp: 04-Jun-25 5:59:44 PM</c:v>
                </c:pt>
                <c:pt idx="124">
                  <c:v>Method Modifications:</c:v>
                </c:pt>
                <c:pt idx="125">
                  <c:v>UVVIS SAT Changed: 04-Jun-25 5:59:58 PM</c:v>
                </c:pt>
                <c:pt idx="126">
                  <c:v>Common SAT Changed: 04-Jun-25 5:59:58 PM</c:v>
                </c:pt>
                <c:pt idx="127">
                  <c:v>Read WL1 Changed: 04-Jun-25 6:00:03 PM</c:v>
                </c:pt>
                <c:pt idx="128">
                  <c:v>Stop Time 1 Changed: 04-Jun-25 6:00:14 PM</c:v>
                </c:pt>
                <c:pt idx="129">
                  <c:v>Saved as C:\Users\Public\Documents\Agilent\Cary WinUV\Glenn\tsrta_free03.BKNSaved as C:\Users\Public\Documents\Agilent\Cary WinUV\Glenn\tsrta_free4.BKN</c:v>
                </c:pt>
                <c:pt idx="130">
                  <c:v>End Method Modifications</c:v>
                </c:pt>
              </c:strCache>
            </c:strRef>
          </c:xVal>
          <c:yVal>
            <c:numRef>
              <c:f>BatchFlow_free!$AW$3:$AW$39</c:f>
              <c:numCache>
                <c:formatCode>General</c:formatCode>
                <c:ptCount val="37"/>
                <c:pt idx="0">
                  <c:v>0</c:v>
                </c:pt>
                <c:pt idx="1">
                  <c:v>2.3485099999999981E-2</c:v>
                </c:pt>
                <c:pt idx="2">
                  <c:v>2.9606699999999986E-2</c:v>
                </c:pt>
                <c:pt idx="3">
                  <c:v>5.9119379999999999E-2</c:v>
                </c:pt>
                <c:pt idx="4">
                  <c:v>7.407018999999998E-2</c:v>
                </c:pt>
                <c:pt idx="5">
                  <c:v>8.9927170000000001E-2</c:v>
                </c:pt>
                <c:pt idx="6">
                  <c:v>0.11196249999999996</c:v>
                </c:pt>
                <c:pt idx="7">
                  <c:v>0.12623893999999997</c:v>
                </c:pt>
                <c:pt idx="8">
                  <c:v>0.14588710999999999</c:v>
                </c:pt>
                <c:pt idx="9">
                  <c:v>0.16282416</c:v>
                </c:pt>
                <c:pt idx="10">
                  <c:v>0.18284852000000001</c:v>
                </c:pt>
                <c:pt idx="11">
                  <c:v>0.20057904999999998</c:v>
                </c:pt>
                <c:pt idx="12">
                  <c:v>0.21836888999999998</c:v>
                </c:pt>
                <c:pt idx="13">
                  <c:v>0.24422874999999999</c:v>
                </c:pt>
                <c:pt idx="14">
                  <c:v>0.25743064999999998</c:v>
                </c:pt>
                <c:pt idx="15">
                  <c:v>0.28041956000000001</c:v>
                </c:pt>
                <c:pt idx="16">
                  <c:v>0.29328427000000001</c:v>
                </c:pt>
                <c:pt idx="17">
                  <c:v>0.31765606999999996</c:v>
                </c:pt>
                <c:pt idx="18">
                  <c:v>0.32671669000000003</c:v>
                </c:pt>
                <c:pt idx="19">
                  <c:v>0.34169492000000001</c:v>
                </c:pt>
                <c:pt idx="20">
                  <c:v>0.36492762000000001</c:v>
                </c:pt>
                <c:pt idx="21">
                  <c:v>0.38320997999999995</c:v>
                </c:pt>
                <c:pt idx="22">
                  <c:v>0.40294072000000003</c:v>
                </c:pt>
                <c:pt idx="23">
                  <c:v>0.40696571000000004</c:v>
                </c:pt>
                <c:pt idx="24">
                  <c:v>0.43256464999999999</c:v>
                </c:pt>
                <c:pt idx="25">
                  <c:v>0.43884042000000001</c:v>
                </c:pt>
                <c:pt idx="26">
                  <c:v>0.44746748000000003</c:v>
                </c:pt>
                <c:pt idx="27">
                  <c:v>0.48313591</c:v>
                </c:pt>
                <c:pt idx="28">
                  <c:v>0.48642025</c:v>
                </c:pt>
                <c:pt idx="29">
                  <c:v>0.52155319</c:v>
                </c:pt>
                <c:pt idx="30">
                  <c:v>0.51128092999999997</c:v>
                </c:pt>
                <c:pt idx="31">
                  <c:v>0.54115197000000004</c:v>
                </c:pt>
                <c:pt idx="32">
                  <c:v>0.53960063999999996</c:v>
                </c:pt>
                <c:pt idx="33">
                  <c:v>0.54874464999999994</c:v>
                </c:pt>
                <c:pt idx="34">
                  <c:v>0.58887436999999998</c:v>
                </c:pt>
                <c:pt idx="35">
                  <c:v>0.62173173000000004</c:v>
                </c:pt>
                <c:pt idx="36">
                  <c:v>0.63456813000000001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064-204D-803D-52464FF12CBA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BatchFlow_free!$AX:$AX</c:f>
              <c:strCache>
                <c:ptCount val="151"/>
                <c:pt idx="0">
                  <c:v>Sample 1</c:v>
                </c:pt>
                <c:pt idx="1">
                  <c:v>Time (min)</c:v>
                </c:pt>
                <c:pt idx="2">
                  <c:v>0.00833333</c:v>
                </c:pt>
                <c:pt idx="3">
                  <c:v>0.025</c:v>
                </c:pt>
                <c:pt idx="4">
                  <c:v>0.04166667</c:v>
                </c:pt>
                <c:pt idx="5">
                  <c:v>0.05833333</c:v>
                </c:pt>
                <c:pt idx="6">
                  <c:v>0.075</c:v>
                </c:pt>
                <c:pt idx="7">
                  <c:v>0.09166667</c:v>
                </c:pt>
                <c:pt idx="8">
                  <c:v>0.10833333</c:v>
                </c:pt>
                <c:pt idx="9">
                  <c:v>0.125</c:v>
                </c:pt>
                <c:pt idx="10">
                  <c:v>0.14166668</c:v>
                </c:pt>
                <c:pt idx="11">
                  <c:v>0.15833335</c:v>
                </c:pt>
                <c:pt idx="12">
                  <c:v>0.17500001</c:v>
                </c:pt>
                <c:pt idx="13">
                  <c:v>0.19166668</c:v>
                </c:pt>
                <c:pt idx="14">
                  <c:v>0.20833334</c:v>
                </c:pt>
                <c:pt idx="15">
                  <c:v>0.22500001</c:v>
                </c:pt>
                <c:pt idx="16">
                  <c:v>0.24166667</c:v>
                </c:pt>
                <c:pt idx="17">
                  <c:v>0.25833333</c:v>
                </c:pt>
                <c:pt idx="18">
                  <c:v>0.27500001</c:v>
                </c:pt>
                <c:pt idx="19">
                  <c:v>0.29166666</c:v>
                </c:pt>
                <c:pt idx="20">
                  <c:v>0.30833334</c:v>
                </c:pt>
                <c:pt idx="21">
                  <c:v>0.32499999</c:v>
                </c:pt>
                <c:pt idx="22">
                  <c:v>0.34166667</c:v>
                </c:pt>
                <c:pt idx="23">
                  <c:v>0.35833332</c:v>
                </c:pt>
                <c:pt idx="24">
                  <c:v>0.375</c:v>
                </c:pt>
                <c:pt idx="25">
                  <c:v>0.39166665</c:v>
                </c:pt>
                <c:pt idx="26">
                  <c:v>0.40833333</c:v>
                </c:pt>
                <c:pt idx="27">
                  <c:v>0.42499998</c:v>
                </c:pt>
                <c:pt idx="28">
                  <c:v>0.44166666</c:v>
                </c:pt>
                <c:pt idx="29">
                  <c:v>0.45833331</c:v>
                </c:pt>
                <c:pt idx="30">
                  <c:v>0.47499999</c:v>
                </c:pt>
                <c:pt idx="31">
                  <c:v>0.49166664</c:v>
                </c:pt>
                <c:pt idx="32">
                  <c:v>0.50833333</c:v>
                </c:pt>
                <c:pt idx="33">
                  <c:v>0.52499998</c:v>
                </c:pt>
                <c:pt idx="34">
                  <c:v>0.54166669</c:v>
                </c:pt>
                <c:pt idx="35">
                  <c:v>0.55833334</c:v>
                </c:pt>
                <c:pt idx="36">
                  <c:v>0.57499999</c:v>
                </c:pt>
                <c:pt idx="37">
                  <c:v>0.59166664</c:v>
                </c:pt>
                <c:pt idx="38">
                  <c:v>0.60833335</c:v>
                </c:pt>
                <c:pt idx="39">
                  <c:v>0.625</c:v>
                </c:pt>
                <c:pt idx="40">
                  <c:v>0.64166665</c:v>
                </c:pt>
                <c:pt idx="41">
                  <c:v>0.6583333</c:v>
                </c:pt>
                <c:pt idx="42">
                  <c:v>0.67500001</c:v>
                </c:pt>
                <c:pt idx="43">
                  <c:v>0.69166666</c:v>
                </c:pt>
                <c:pt idx="44">
                  <c:v>0.70833331</c:v>
                </c:pt>
                <c:pt idx="45">
                  <c:v>0.72499996</c:v>
                </c:pt>
                <c:pt idx="46">
                  <c:v>0.74166667</c:v>
                </c:pt>
                <c:pt idx="47">
                  <c:v>0.75833333</c:v>
                </c:pt>
                <c:pt idx="48">
                  <c:v>0.77499998</c:v>
                </c:pt>
                <c:pt idx="49">
                  <c:v>0.79166669</c:v>
                </c:pt>
                <c:pt idx="50">
                  <c:v>0.80833334</c:v>
                </c:pt>
                <c:pt idx="51">
                  <c:v>0.82499999</c:v>
                </c:pt>
                <c:pt idx="52">
                  <c:v>0.84166664</c:v>
                </c:pt>
                <c:pt idx="53">
                  <c:v>0.85833335</c:v>
                </c:pt>
                <c:pt idx="54">
                  <c:v>0.875</c:v>
                </c:pt>
                <c:pt idx="55">
                  <c:v>0.89166665</c:v>
                </c:pt>
                <c:pt idx="56">
                  <c:v>0.9083333</c:v>
                </c:pt>
                <c:pt idx="57">
                  <c:v>0.92500001</c:v>
                </c:pt>
                <c:pt idx="58">
                  <c:v>0.94166666</c:v>
                </c:pt>
                <c:pt idx="59">
                  <c:v>0.95833331</c:v>
                </c:pt>
                <c:pt idx="60">
                  <c:v>0.97499996</c:v>
                </c:pt>
                <c:pt idx="61">
                  <c:v>0.99166667</c:v>
                </c:pt>
                <c:pt idx="62">
                  <c:v>1.00833333</c:v>
                </c:pt>
                <c:pt idx="63">
                  <c:v>1.02499998</c:v>
                </c:pt>
                <c:pt idx="64">
                  <c:v>1.04166663</c:v>
                </c:pt>
                <c:pt idx="65">
                  <c:v>1.05833328</c:v>
                </c:pt>
                <c:pt idx="66">
                  <c:v>1.07500005</c:v>
                </c:pt>
                <c:pt idx="67">
                  <c:v>1.0916667</c:v>
                </c:pt>
                <c:pt idx="68">
                  <c:v>1.10833335</c:v>
                </c:pt>
                <c:pt idx="69">
                  <c:v>1.125</c:v>
                </c:pt>
                <c:pt idx="70">
                  <c:v>1.14166665</c:v>
                </c:pt>
                <c:pt idx="71">
                  <c:v>1.1583333</c:v>
                </c:pt>
                <c:pt idx="72">
                  <c:v>1.17499995</c:v>
                </c:pt>
                <c:pt idx="73">
                  <c:v>1.1916666</c:v>
                </c:pt>
                <c:pt idx="74">
                  <c:v>1.20833337</c:v>
                </c:pt>
                <c:pt idx="75">
                  <c:v>1.22500002</c:v>
                </c:pt>
                <c:pt idx="76">
                  <c:v>1.24166668</c:v>
                </c:pt>
                <c:pt idx="77">
                  <c:v>1.25833333</c:v>
                </c:pt>
                <c:pt idx="78">
                  <c:v>1.27499998</c:v>
                </c:pt>
                <c:pt idx="79">
                  <c:v>1.29166663</c:v>
                </c:pt>
                <c:pt idx="80">
                  <c:v>1.30833328</c:v>
                </c:pt>
                <c:pt idx="81">
                  <c:v>1.32500005</c:v>
                </c:pt>
                <c:pt idx="82">
                  <c:v>1.3416667</c:v>
                </c:pt>
                <c:pt idx="83">
                  <c:v>1.35833335</c:v>
                </c:pt>
                <c:pt idx="84">
                  <c:v>1.375</c:v>
                </c:pt>
                <c:pt idx="85">
                  <c:v>1.39166665</c:v>
                </c:pt>
                <c:pt idx="86">
                  <c:v>1.4083333</c:v>
                </c:pt>
                <c:pt idx="87">
                  <c:v>1.42499995</c:v>
                </c:pt>
                <c:pt idx="88">
                  <c:v>1.4416666</c:v>
                </c:pt>
                <c:pt idx="89">
                  <c:v>1.45833337</c:v>
                </c:pt>
                <c:pt idx="90">
                  <c:v>1.47500002</c:v>
                </c:pt>
                <c:pt idx="91">
                  <c:v>1.49166668</c:v>
                </c:pt>
                <c:pt idx="92">
                  <c:v>1.50833333</c:v>
                </c:pt>
                <c:pt idx="93">
                  <c:v>1.52499998</c:v>
                </c:pt>
                <c:pt idx="94">
                  <c:v>1.54166663</c:v>
                </c:pt>
                <c:pt idx="95">
                  <c:v>1.55833328</c:v>
                </c:pt>
                <c:pt idx="96">
                  <c:v>1.57500005</c:v>
                </c:pt>
                <c:pt idx="97">
                  <c:v>1.5916667</c:v>
                </c:pt>
                <c:pt idx="98">
                  <c:v>1.60833335</c:v>
                </c:pt>
                <c:pt idx="99">
                  <c:v>1.625</c:v>
                </c:pt>
                <c:pt idx="100">
                  <c:v>1.64166665</c:v>
                </c:pt>
                <c:pt idx="101">
                  <c:v>1.6583333</c:v>
                </c:pt>
                <c:pt idx="102">
                  <c:v>1.67499995</c:v>
                </c:pt>
                <c:pt idx="103">
                  <c:v>1.6916666</c:v>
                </c:pt>
                <c:pt idx="104">
                  <c:v>1.70833337</c:v>
                </c:pt>
                <c:pt idx="105">
                  <c:v>1.72500002</c:v>
                </c:pt>
                <c:pt idx="106">
                  <c:v>1.74166668</c:v>
                </c:pt>
                <c:pt idx="107">
                  <c:v>1.75833333</c:v>
                </c:pt>
                <c:pt idx="108">
                  <c:v>1.77499998</c:v>
                </c:pt>
                <c:pt idx="109">
                  <c:v>1.79166663</c:v>
                </c:pt>
                <c:pt idx="110">
                  <c:v>1.80833328</c:v>
                </c:pt>
                <c:pt idx="111">
                  <c:v>1.82500005</c:v>
                </c:pt>
                <c:pt idx="112">
                  <c:v>1.8416667</c:v>
                </c:pt>
                <c:pt idx="113">
                  <c:v>1.85833335</c:v>
                </c:pt>
                <c:pt idx="114">
                  <c:v>1.875</c:v>
                </c:pt>
                <c:pt idx="115">
                  <c:v>1.89166665</c:v>
                </c:pt>
                <c:pt idx="116">
                  <c:v>1.9083333</c:v>
                </c:pt>
                <c:pt idx="117">
                  <c:v>1.92499995</c:v>
                </c:pt>
                <c:pt idx="118">
                  <c:v>1.9416666</c:v>
                </c:pt>
                <c:pt idx="119">
                  <c:v>1.95833337</c:v>
                </c:pt>
                <c:pt idx="120">
                  <c:v>1.97500002</c:v>
                </c:pt>
                <c:pt idx="121">
                  <c:v>1.99166668</c:v>
                </c:pt>
                <c:pt idx="122">
                  <c:v>2.00833345</c:v>
                </c:pt>
                <c:pt idx="124">
                  <c:v>Sample 1</c:v>
                </c:pt>
                <c:pt idx="125">
                  <c:v>Sample 1</c:v>
                </c:pt>
                <c:pt idx="126">
                  <c:v>Collection Time: 04-Jun-25 6:04:03 PM</c:v>
                </c:pt>
                <c:pt idx="127">
                  <c:v>Operator Name  :</c:v>
                </c:pt>
                <c:pt idx="128">
                  <c:v>Kinetics Version 5.1.3.1042</c:v>
                </c:pt>
                <c:pt idx="129">
                  <c:v>Parameter List :</c:v>
                </c:pt>
                <c:pt idx="130">
                  <c:v>Instrument  Cary 60</c:v>
                </c:pt>
                <c:pt idx="131">
                  <c:v>Instrument version  2.00</c:v>
                </c:pt>
                <c:pt idx="132">
                  <c:v>Wavelength (nm)  245.0</c:v>
                </c:pt>
                <c:pt idx="133">
                  <c:v>Ordinate mode  Abs</c:v>
                </c:pt>
                <c:pt idx="134">
                  <c:v>Ave Time (sec)  1.0005</c:v>
                </c:pt>
                <c:pt idx="135">
                  <c:v>Cycle Time(min)  0.00</c:v>
                </c:pt>
                <c:pt idx="136">
                  <c:v>Stop Time(min)  2.00</c:v>
                </c:pt>
                <c:pt idx="137">
                  <c:v>Number of Samples  1</c:v>
                </c:pt>
                <c:pt idx="138">
                  <c:v>Display Options  Individual Data</c:v>
                </c:pt>
                <c:pt idx="139">
                  <c:v>Method Log     :</c:v>
                </c:pt>
                <c:pt idx="140">
                  <c:v>Method Name    :</c:v>
                </c:pt>
                <c:pt idx="141">
                  <c:v>Date/Time stamp: 04-Jun-25 5:59:44 PM</c:v>
                </c:pt>
                <c:pt idx="142">
                  <c:v>Method Modifications:</c:v>
                </c:pt>
                <c:pt idx="143">
                  <c:v>UVVIS SAT Changed: 04-Jun-25 5:59:58 PM</c:v>
                </c:pt>
                <c:pt idx="144">
                  <c:v>Common SAT Changed: 04-Jun-25 5:59:58 PM</c:v>
                </c:pt>
                <c:pt idx="145">
                  <c:v>Read WL1 Changed: 04-Jun-25 6:00:03 PM</c:v>
                </c:pt>
                <c:pt idx="146">
                  <c:v>Stop Time 1 Changed: 04-Jun-25 6:00:14 PM</c:v>
                </c:pt>
                <c:pt idx="147">
                  <c:v>Saved as C:\Users\Public\Documents\Agilent\Cary WinUV\Glenn\tsrta_free03.BKNSaved as C:\Users\Public\Documents\Agilent\Cary WinUV\Glenn\tsrta_free4.BKNSaved as C:\Users\Public\Documents\Agilent\Cary WinUV\Glenn\tsrta_free04.BKNSaved as C:\Users\Public\Docu</c:v>
                </c:pt>
                <c:pt idx="148">
                  <c:v>End Method Modifications</c:v>
                </c:pt>
                <c:pt idx="149">
                  <c:v>&lt;Current Wavelength&gt; </c:v>
                </c:pt>
                <c:pt idx="150">
                  <c:v>&lt;Cycle Count&gt; </c:v>
                </c:pt>
              </c:strCache>
            </c:strRef>
          </c:xVal>
          <c:yVal>
            <c:numRef>
              <c:f>BatchFlow_free!$AY$3:$AY$39</c:f>
              <c:numCache>
                <c:formatCode>General</c:formatCode>
                <c:ptCount val="37"/>
                <c:pt idx="0">
                  <c:v>0.74933583000000004</c:v>
                </c:pt>
                <c:pt idx="1">
                  <c:v>0.44289436999999998</c:v>
                </c:pt>
                <c:pt idx="2">
                  <c:v>8.2849450000000005E-2</c:v>
                </c:pt>
                <c:pt idx="3">
                  <c:v>9.2422160000000003E-2</c:v>
                </c:pt>
                <c:pt idx="4">
                  <c:v>0.10793389</c:v>
                </c:pt>
                <c:pt idx="5">
                  <c:v>0.12338652</c:v>
                </c:pt>
                <c:pt idx="6">
                  <c:v>0.14180845</c:v>
                </c:pt>
                <c:pt idx="7">
                  <c:v>0.16301103</c:v>
                </c:pt>
                <c:pt idx="8">
                  <c:v>0.1791451</c:v>
                </c:pt>
                <c:pt idx="9">
                  <c:v>0.19572870000000001</c:v>
                </c:pt>
                <c:pt idx="10">
                  <c:v>0.21523946999999999</c:v>
                </c:pt>
                <c:pt idx="11">
                  <c:v>0.23477043</c:v>
                </c:pt>
                <c:pt idx="12">
                  <c:v>0.24891384</c:v>
                </c:pt>
                <c:pt idx="13">
                  <c:v>0.26813543000000001</c:v>
                </c:pt>
                <c:pt idx="14">
                  <c:v>0.29443401000000002</c:v>
                </c:pt>
                <c:pt idx="15">
                  <c:v>0.31368098</c:v>
                </c:pt>
                <c:pt idx="16">
                  <c:v>0.33023851999999998</c:v>
                </c:pt>
                <c:pt idx="17">
                  <c:v>0.34840961999999998</c:v>
                </c:pt>
                <c:pt idx="18">
                  <c:v>0.37221134</c:v>
                </c:pt>
                <c:pt idx="19">
                  <c:v>0.39086549999999998</c:v>
                </c:pt>
                <c:pt idx="20">
                  <c:v>0.40720207000000003</c:v>
                </c:pt>
                <c:pt idx="21">
                  <c:v>0.42685282000000002</c:v>
                </c:pt>
                <c:pt idx="22">
                  <c:v>0.44952219999999998</c:v>
                </c:pt>
                <c:pt idx="23">
                  <c:v>0.47203498999999999</c:v>
                </c:pt>
                <c:pt idx="24">
                  <c:v>0.47830433</c:v>
                </c:pt>
                <c:pt idx="25">
                  <c:v>0.50448274999999998</c:v>
                </c:pt>
                <c:pt idx="26">
                  <c:v>0.52014536</c:v>
                </c:pt>
                <c:pt idx="27">
                  <c:v>0.54036552000000004</c:v>
                </c:pt>
                <c:pt idx="28">
                  <c:v>0.55665456999999996</c:v>
                </c:pt>
                <c:pt idx="29">
                  <c:v>0.57445055</c:v>
                </c:pt>
                <c:pt idx="30">
                  <c:v>0.60174536999999995</c:v>
                </c:pt>
                <c:pt idx="31">
                  <c:v>0.61702615000000005</c:v>
                </c:pt>
                <c:pt idx="32">
                  <c:v>0.63483155000000002</c:v>
                </c:pt>
                <c:pt idx="33">
                  <c:v>0.64867532000000006</c:v>
                </c:pt>
                <c:pt idx="34">
                  <c:v>0.66875373999999999</c:v>
                </c:pt>
                <c:pt idx="35">
                  <c:v>0.67864447999999999</c:v>
                </c:pt>
                <c:pt idx="36">
                  <c:v>0.69820302999999995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064-204D-803D-52464FF12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828144"/>
        <c:axId val="524847984"/>
      </c:scatterChart>
      <c:valAx>
        <c:axId val="524828144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847984"/>
        <c:crosses val="autoZero"/>
        <c:crossBetween val="midCat"/>
      </c:valAx>
      <c:valAx>
        <c:axId val="52484798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abs (245 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828144"/>
        <c:crosses val="autoZero"/>
        <c:crossBetween val="midCat"/>
        <c:majorUnit val="0.1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549157</xdr:colOff>
      <xdr:row>0</xdr:row>
      <xdr:rowOff>114819</xdr:rowOff>
    </xdr:from>
    <xdr:to>
      <xdr:col>22</xdr:col>
      <xdr:colOff>509297</xdr:colOff>
      <xdr:row>14</xdr:row>
      <xdr:rowOff>191019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53AFA9-BFDA-8F4E-A144-CDDD742607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286877</xdr:colOff>
      <xdr:row>22</xdr:row>
      <xdr:rowOff>149350</xdr:rowOff>
    </xdr:from>
    <xdr:to>
      <xdr:col>22</xdr:col>
      <xdr:colOff>674235</xdr:colOff>
      <xdr:row>41</xdr:row>
      <xdr:rowOff>200151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02A36E-7247-7E49-8B24-7864EC91F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1188936</xdr:colOff>
      <xdr:row>2</xdr:row>
      <xdr:rowOff>148617</xdr:rowOff>
    </xdr:from>
    <xdr:to>
      <xdr:col>31</xdr:col>
      <xdr:colOff>340469</xdr:colOff>
      <xdr:row>16</xdr:row>
      <xdr:rowOff>34047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8B7AE1-EDDE-17FC-67BE-67EFE7897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1415-49A9-9A40-A5FA-964266199659}">
  <dimension ref="A1:AY185"/>
  <sheetViews>
    <sheetView tabSelected="1" topLeftCell="M1" zoomScale="98" workbookViewId="0">
      <selection activeCell="Y29" sqref="Y29"/>
    </sheetView>
  </sheetViews>
  <sheetFormatPr baseColWidth="10" defaultRowHeight="16" x14ac:dyDescent="0.2"/>
  <cols>
    <col min="16" max="16" width="14.1640625" bestFit="1" customWidth="1"/>
    <col min="17" max="17" width="15.1640625" customWidth="1"/>
    <col min="25" max="25" width="16.5" customWidth="1"/>
    <col min="26" max="26" width="13.83203125" customWidth="1"/>
  </cols>
  <sheetData>
    <row r="1" spans="1:51" x14ac:dyDescent="0.2">
      <c r="A1" t="s">
        <v>32</v>
      </c>
      <c r="C1" s="1" t="s">
        <v>65</v>
      </c>
      <c r="E1" s="1"/>
      <c r="I1" s="1" t="s">
        <v>64</v>
      </c>
      <c r="J1" s="1"/>
      <c r="O1" s="1"/>
      <c r="U1" s="1"/>
      <c r="AG1" s="1" t="s">
        <v>32</v>
      </c>
      <c r="AH1" s="1"/>
      <c r="AK1" s="1" t="s">
        <v>32</v>
      </c>
      <c r="AL1" s="1"/>
      <c r="AQ1" s="8" t="s">
        <v>32</v>
      </c>
      <c r="AR1" s="8"/>
      <c r="AU1" s="1" t="s">
        <v>32</v>
      </c>
      <c r="AV1" s="1"/>
      <c r="AX1" s="1" t="s">
        <v>32</v>
      </c>
      <c r="AY1" s="1"/>
    </row>
    <row r="2" spans="1:51" ht="20" x14ac:dyDescent="0.2">
      <c r="A2" t="s">
        <v>34</v>
      </c>
      <c r="B2" t="s">
        <v>33</v>
      </c>
      <c r="C2" s="1" t="s">
        <v>34</v>
      </c>
      <c r="E2" s="1" t="s">
        <v>33</v>
      </c>
      <c r="I2" s="1" t="s">
        <v>34</v>
      </c>
      <c r="J2" s="1" t="s">
        <v>33</v>
      </c>
      <c r="O2" s="1"/>
      <c r="U2" s="1"/>
      <c r="X2" s="5" t="s">
        <v>66</v>
      </c>
      <c r="AG2" s="1" t="s">
        <v>34</v>
      </c>
      <c r="AH2" s="1" t="s">
        <v>33</v>
      </c>
      <c r="AK2" s="1" t="s">
        <v>34</v>
      </c>
      <c r="AL2" s="1" t="s">
        <v>33</v>
      </c>
      <c r="AQ2" s="8" t="s">
        <v>34</v>
      </c>
      <c r="AR2" s="8" t="s">
        <v>33</v>
      </c>
      <c r="AU2" s="1" t="s">
        <v>34</v>
      </c>
      <c r="AV2" s="1" t="s">
        <v>33</v>
      </c>
      <c r="AX2" s="1" t="s">
        <v>34</v>
      </c>
      <c r="AY2" s="1" t="s">
        <v>33</v>
      </c>
    </row>
    <row r="3" spans="1:51" x14ac:dyDescent="0.2">
      <c r="A3">
        <v>1.6666667539999999E-2</v>
      </c>
      <c r="B3">
        <v>1.6830706970000001E-2</v>
      </c>
      <c r="C3" s="1">
        <v>1.6666670000000001E-2</v>
      </c>
      <c r="E3" s="1">
        <v>0.22366874</v>
      </c>
      <c r="F3">
        <f>E3-$E$3</f>
        <v>0</v>
      </c>
      <c r="I3" s="1">
        <v>1.6666670000000001E-2</v>
      </c>
      <c r="J3" s="1">
        <v>4.0173939999999998E-2</v>
      </c>
      <c r="L3">
        <f>AVERAGE(B3,F3,J3)</f>
        <v>1.9001548990000002E-2</v>
      </c>
      <c r="M3">
        <f>STDEV(B3,F3,J3)</f>
        <v>2.0174756010612575E-2</v>
      </c>
      <c r="O3" s="1"/>
      <c r="U3" s="1"/>
      <c r="AG3" s="1">
        <v>1.6666670000000001E-2</v>
      </c>
      <c r="AH3" s="1">
        <v>0.60024398999999995</v>
      </c>
      <c r="AI3">
        <f>AH12-$AH$3</f>
        <v>4.2796700000000687E-3</v>
      </c>
      <c r="AK3" s="1">
        <v>1.6666670000000001E-2</v>
      </c>
      <c r="AL3" s="1">
        <v>3.5079220000000001E-2</v>
      </c>
      <c r="AN3">
        <f>AVERAGE(AL3,AI3)</f>
        <v>1.9679445000000035E-2</v>
      </c>
      <c r="AO3">
        <f>STDEV(AI3,AL3)</f>
        <v>2.1778570662494081E-2</v>
      </c>
      <c r="AQ3" s="8">
        <v>1.6666670000000001E-2</v>
      </c>
      <c r="AR3" s="8">
        <v>0.60024398999999995</v>
      </c>
      <c r="AS3">
        <f>AR3-$AR$3</f>
        <v>0</v>
      </c>
      <c r="AU3" s="1">
        <v>8.3333299999999999E-3</v>
      </c>
      <c r="AV3" s="1">
        <v>0.22349414000000001</v>
      </c>
      <c r="AW3">
        <f>AV3-$AV$3</f>
        <v>0</v>
      </c>
      <c r="AX3" s="1">
        <v>8.3333299999999999E-3</v>
      </c>
      <c r="AY3" s="1">
        <v>0.74933583000000004</v>
      </c>
    </row>
    <row r="4" spans="1:51" x14ac:dyDescent="0.2">
      <c r="A4">
        <v>5.0000000750000002E-2</v>
      </c>
      <c r="B4">
        <v>1.7408475279999999E-2</v>
      </c>
      <c r="C4" s="1">
        <v>0.05</v>
      </c>
      <c r="E4" s="1">
        <v>0.2201813</v>
      </c>
      <c r="F4">
        <f t="shared" ref="F4:F67" si="0">E4-$E$3</f>
        <v>-3.4874400000000083E-3</v>
      </c>
      <c r="I4" s="1">
        <v>0.05</v>
      </c>
      <c r="J4" s="1">
        <v>4.6700140000000001E-2</v>
      </c>
      <c r="L4">
        <f t="shared" ref="L4:L67" si="1">AVERAGE(B4,F4,J4)</f>
        <v>2.0207058426666664E-2</v>
      </c>
      <c r="M4">
        <f t="shared" ref="M4:M67" si="2">STDEV(B4,F4,J4)</f>
        <v>2.5210560233475676E-2</v>
      </c>
      <c r="O4" s="1"/>
      <c r="U4" s="1"/>
      <c r="X4">
        <v>12.6</v>
      </c>
      <c r="Y4" t="s">
        <v>67</v>
      </c>
      <c r="AG4" s="1">
        <v>0.05</v>
      </c>
      <c r="AH4" s="1">
        <v>0.72116970999999996</v>
      </c>
      <c r="AI4">
        <f>AH13-$AH$3</f>
        <v>4.1385590000000083E-2</v>
      </c>
      <c r="AK4" s="1">
        <v>0.05</v>
      </c>
      <c r="AL4" s="1">
        <v>6.9141629999999996E-2</v>
      </c>
      <c r="AN4">
        <f t="shared" ref="AN4:AN51" si="3">AVERAGE(AL4,AI4)</f>
        <v>5.5263610000000039E-2</v>
      </c>
      <c r="AO4">
        <f t="shared" ref="AO4:AO51" si="4">STDEV(AI4,AL4)</f>
        <v>1.9626484102884978E-2</v>
      </c>
      <c r="AQ4" s="8">
        <v>0.05</v>
      </c>
      <c r="AR4" s="8">
        <v>0.72116970999999996</v>
      </c>
      <c r="AS4">
        <f t="shared" ref="AS4:AS39" si="5">AR4-$AR$3</f>
        <v>0.12092572000000001</v>
      </c>
      <c r="AU4" s="1">
        <v>2.5000000000000001E-2</v>
      </c>
      <c r="AV4" s="1">
        <v>0.24697923999999999</v>
      </c>
      <c r="AW4">
        <f t="shared" ref="AW4:AW39" si="6">AV4-$AV$3</f>
        <v>2.3485099999999981E-2</v>
      </c>
      <c r="AX4" s="1">
        <v>2.5000000000000001E-2</v>
      </c>
      <c r="AY4" s="1">
        <v>0.44289436999999998</v>
      </c>
    </row>
    <row r="5" spans="1:51" x14ac:dyDescent="0.2">
      <c r="A5">
        <v>8.3333335820000007E-2</v>
      </c>
      <c r="B5">
        <v>1.890499704E-2</v>
      </c>
      <c r="C5" s="1">
        <v>8.3333340000000006E-2</v>
      </c>
      <c r="E5" s="1">
        <v>0.22780702999999999</v>
      </c>
      <c r="F5">
        <f t="shared" si="0"/>
        <v>4.1382899999999889E-3</v>
      </c>
      <c r="I5" s="1">
        <v>8.3333340000000006E-2</v>
      </c>
      <c r="J5" s="1">
        <v>4.8832309999999997E-2</v>
      </c>
      <c r="L5">
        <f t="shared" si="1"/>
        <v>2.3958532346666662E-2</v>
      </c>
      <c r="M5">
        <f t="shared" si="2"/>
        <v>2.2771528720353734E-2</v>
      </c>
      <c r="O5" s="1"/>
      <c r="U5" s="1"/>
      <c r="AG5" s="1">
        <v>8.3333340000000006E-2</v>
      </c>
      <c r="AH5" s="1">
        <v>0.65677047</v>
      </c>
      <c r="AI5">
        <f>AH14-$AH$3</f>
        <v>6.0560640000000054E-2</v>
      </c>
      <c r="AK5" s="1">
        <v>8.3333340000000006E-2</v>
      </c>
      <c r="AL5" s="1">
        <v>4.8324880000000001E-2</v>
      </c>
      <c r="AN5">
        <f t="shared" si="3"/>
        <v>5.4442760000000028E-2</v>
      </c>
      <c r="AO5">
        <f t="shared" si="4"/>
        <v>8.6519888689711756E-3</v>
      </c>
      <c r="AQ5" s="8">
        <v>8.3333340000000006E-2</v>
      </c>
      <c r="AR5" s="8">
        <v>0.65677047</v>
      </c>
      <c r="AS5">
        <f t="shared" si="5"/>
        <v>5.6526480000000046E-2</v>
      </c>
      <c r="AU5" s="1">
        <v>4.1666670000000003E-2</v>
      </c>
      <c r="AV5" s="1">
        <v>0.25310083999999999</v>
      </c>
      <c r="AW5">
        <f t="shared" si="6"/>
        <v>2.9606699999999986E-2</v>
      </c>
      <c r="AX5" s="1">
        <v>4.1666670000000003E-2</v>
      </c>
      <c r="AY5" s="1">
        <v>8.2849450000000005E-2</v>
      </c>
    </row>
    <row r="6" spans="1:51" x14ac:dyDescent="0.2">
      <c r="A6">
        <v>0.1166666672</v>
      </c>
      <c r="B6">
        <v>2.3371120910000001E-2</v>
      </c>
      <c r="C6" s="1">
        <v>0.11666667</v>
      </c>
      <c r="E6" s="1">
        <v>0.23861057999999999</v>
      </c>
      <c r="F6">
        <f t="shared" si="0"/>
        <v>1.4941839999999984E-2</v>
      </c>
      <c r="I6" s="1">
        <v>0.11666667</v>
      </c>
      <c r="J6" s="1">
        <v>5.6068350000000003E-2</v>
      </c>
      <c r="L6">
        <f t="shared" si="1"/>
        <v>3.1460436969999998E-2</v>
      </c>
      <c r="M6">
        <f t="shared" si="2"/>
        <v>2.1723840174655028E-2</v>
      </c>
      <c r="O6" s="1"/>
      <c r="U6" s="1"/>
      <c r="AG6" s="1">
        <v>0.11666667</v>
      </c>
      <c r="AH6" s="1">
        <v>0.56073815000000005</v>
      </c>
      <c r="AI6">
        <f>AH15-$AH$3</f>
        <v>8.2102290000000022E-2</v>
      </c>
      <c r="AK6" s="1">
        <v>0.11666667</v>
      </c>
      <c r="AL6" s="1">
        <v>7.6695630000000001E-2</v>
      </c>
      <c r="AN6">
        <f t="shared" si="3"/>
        <v>7.9398960000000018E-2</v>
      </c>
      <c r="AO6">
        <f t="shared" si="4"/>
        <v>3.823085949570074E-3</v>
      </c>
      <c r="AQ6" s="8">
        <v>0.11666667</v>
      </c>
      <c r="AR6" s="8">
        <v>0.56073815000000005</v>
      </c>
      <c r="AS6">
        <f t="shared" si="5"/>
        <v>-3.9505839999999903E-2</v>
      </c>
      <c r="AU6" s="1">
        <v>5.8333330000000003E-2</v>
      </c>
      <c r="AV6" s="1">
        <v>0.28261352000000001</v>
      </c>
      <c r="AW6">
        <f t="shared" si="6"/>
        <v>5.9119379999999999E-2</v>
      </c>
      <c r="AX6" s="1">
        <v>5.8333330000000003E-2</v>
      </c>
      <c r="AY6" s="1">
        <v>9.2422160000000003E-2</v>
      </c>
    </row>
    <row r="7" spans="1:51" x14ac:dyDescent="0.2">
      <c r="A7">
        <v>0.15000000599999999</v>
      </c>
      <c r="B7">
        <v>1.8047560010000002E-2</v>
      </c>
      <c r="C7" s="1">
        <v>0.15000000999999999</v>
      </c>
      <c r="E7" s="1">
        <v>0.24061619000000001</v>
      </c>
      <c r="F7">
        <f t="shared" si="0"/>
        <v>1.6947450000000003E-2</v>
      </c>
      <c r="I7" s="1">
        <v>0.15000000999999999</v>
      </c>
      <c r="J7" s="1">
        <v>5.3857769999999999E-2</v>
      </c>
      <c r="L7">
        <f t="shared" si="1"/>
        <v>2.9617593336666668E-2</v>
      </c>
      <c r="M7">
        <f t="shared" si="2"/>
        <v>2.0999813904192886E-2</v>
      </c>
      <c r="O7" s="1"/>
      <c r="U7" s="1"/>
      <c r="AG7" s="1">
        <v>0.15000000999999999</v>
      </c>
      <c r="AH7" s="1">
        <v>0.52888232000000002</v>
      </c>
      <c r="AI7">
        <f>AH16-$AH$3</f>
        <v>9.410524000000009E-2</v>
      </c>
      <c r="AK7" s="1">
        <v>0.15000000999999999</v>
      </c>
      <c r="AL7" s="1">
        <v>8.2195749999999998E-2</v>
      </c>
      <c r="AN7">
        <f t="shared" si="3"/>
        <v>8.8150495000000051E-2</v>
      </c>
      <c r="AO7">
        <f t="shared" si="4"/>
        <v>8.4212811394734407E-3</v>
      </c>
      <c r="AQ7" s="8">
        <v>0.15000000999999999</v>
      </c>
      <c r="AR7" s="8">
        <v>0.52888232000000002</v>
      </c>
      <c r="AS7">
        <f t="shared" si="5"/>
        <v>-7.1361669999999933E-2</v>
      </c>
      <c r="AU7" s="1">
        <v>7.4999999999999997E-2</v>
      </c>
      <c r="AV7" s="1">
        <v>0.29756432999999999</v>
      </c>
      <c r="AW7">
        <f t="shared" si="6"/>
        <v>7.407018999999998E-2</v>
      </c>
      <c r="AX7" s="1">
        <v>7.4999999999999997E-2</v>
      </c>
      <c r="AY7" s="1">
        <v>0.10793389</v>
      </c>
    </row>
    <row r="8" spans="1:51" x14ac:dyDescent="0.2">
      <c r="A8">
        <v>0.18333333730000001</v>
      </c>
      <c r="B8">
        <v>2.6380373169999999E-2</v>
      </c>
      <c r="C8" s="1">
        <v>0.18333334000000001</v>
      </c>
      <c r="E8" s="1">
        <v>0.23956926000000001</v>
      </c>
      <c r="F8">
        <f t="shared" si="0"/>
        <v>1.5900520000000001E-2</v>
      </c>
      <c r="I8" s="1">
        <v>0.18333334000000001</v>
      </c>
      <c r="J8" s="1">
        <v>5.8307159999999997E-2</v>
      </c>
      <c r="L8">
        <f t="shared" si="1"/>
        <v>3.3529351056666663E-2</v>
      </c>
      <c r="M8">
        <f t="shared" si="2"/>
        <v>2.2088723200774568E-2</v>
      </c>
      <c r="O8" s="1"/>
      <c r="U8" s="1"/>
      <c r="AG8" s="1">
        <v>0.18333334000000001</v>
      </c>
      <c r="AH8" s="1">
        <v>0.52774036000000002</v>
      </c>
      <c r="AI8">
        <f>AH17-$AH$3</f>
        <v>0.11738324</v>
      </c>
      <c r="AK8" s="1">
        <v>0.18333334000000001</v>
      </c>
      <c r="AL8" s="1">
        <v>8.0098580000000003E-2</v>
      </c>
      <c r="AN8">
        <f t="shared" si="3"/>
        <v>9.8740910000000001E-2</v>
      </c>
      <c r="AO8">
        <f t="shared" si="4"/>
        <v>2.6364235920234805E-2</v>
      </c>
      <c r="AQ8" s="8">
        <v>0.18333334000000001</v>
      </c>
      <c r="AR8" s="8">
        <v>0.52774036000000002</v>
      </c>
      <c r="AS8">
        <f t="shared" si="5"/>
        <v>-7.250362999999993E-2</v>
      </c>
      <c r="AU8" s="1">
        <v>9.1666670000000006E-2</v>
      </c>
      <c r="AV8" s="1">
        <v>0.31342131000000001</v>
      </c>
      <c r="AW8">
        <f t="shared" si="6"/>
        <v>8.9927170000000001E-2</v>
      </c>
      <c r="AX8" s="1">
        <v>9.1666670000000006E-2</v>
      </c>
      <c r="AY8" s="1">
        <v>0.12338652</v>
      </c>
    </row>
    <row r="9" spans="1:51" x14ac:dyDescent="0.2">
      <c r="A9">
        <v>0.21666666870000001</v>
      </c>
      <c r="B9">
        <v>5.2548672999999997E-2</v>
      </c>
      <c r="C9" s="1">
        <v>0.21666667000000001</v>
      </c>
      <c r="E9" s="1">
        <v>0.26311751999999999</v>
      </c>
      <c r="F9">
        <f t="shared" si="0"/>
        <v>3.9448779999999989E-2</v>
      </c>
      <c r="I9" s="1">
        <v>0.21666667000000001</v>
      </c>
      <c r="J9" s="1">
        <v>0.10161307</v>
      </c>
      <c r="L9">
        <f t="shared" si="1"/>
        <v>6.4536840999999998E-2</v>
      </c>
      <c r="M9">
        <f t="shared" si="2"/>
        <v>3.2770213102727812E-2</v>
      </c>
      <c r="O9" s="1"/>
      <c r="U9" s="1"/>
      <c r="AG9" s="1">
        <v>0.21666667000000001</v>
      </c>
      <c r="AH9" s="1">
        <v>0.53727495999999997</v>
      </c>
      <c r="AI9">
        <f>AH18-$AH$3</f>
        <v>0.13282531000000009</v>
      </c>
      <c r="AK9" s="1">
        <v>0.21666667000000001</v>
      </c>
      <c r="AL9" s="1">
        <v>0.10885893000000001</v>
      </c>
      <c r="AN9">
        <f t="shared" si="3"/>
        <v>0.12084212000000005</v>
      </c>
      <c r="AO9">
        <f t="shared" si="4"/>
        <v>1.6946789818493704E-2</v>
      </c>
      <c r="AQ9" s="8">
        <v>0.21666667000000001</v>
      </c>
      <c r="AR9" s="8">
        <v>0.53727495999999997</v>
      </c>
      <c r="AS9">
        <f t="shared" si="5"/>
        <v>-6.2969029999999981E-2</v>
      </c>
      <c r="AU9" s="1">
        <v>0.10833333000000001</v>
      </c>
      <c r="AV9" s="1">
        <v>0.33545663999999997</v>
      </c>
      <c r="AW9">
        <f t="shared" si="6"/>
        <v>0.11196249999999996</v>
      </c>
      <c r="AX9" s="1">
        <v>0.10833333000000001</v>
      </c>
      <c r="AY9" s="1">
        <v>0.14180845</v>
      </c>
    </row>
    <row r="10" spans="1:51" x14ac:dyDescent="0.2">
      <c r="A10">
        <v>0.25</v>
      </c>
      <c r="B10">
        <v>0.1264497191</v>
      </c>
      <c r="C10" s="1">
        <v>0.25</v>
      </c>
      <c r="E10" s="1">
        <v>0.30638334</v>
      </c>
      <c r="F10">
        <f t="shared" si="0"/>
        <v>8.2714599999999999E-2</v>
      </c>
      <c r="I10" s="1">
        <v>0.25</v>
      </c>
      <c r="J10" s="1">
        <v>0.17412320000000001</v>
      </c>
      <c r="L10">
        <f t="shared" si="1"/>
        <v>0.12776250636666667</v>
      </c>
      <c r="M10">
        <f t="shared" si="2"/>
        <v>4.5718438253024796E-2</v>
      </c>
      <c r="O10" s="1"/>
      <c r="U10" s="1"/>
      <c r="AG10" s="1">
        <v>0.25</v>
      </c>
      <c r="AH10" s="1">
        <v>0.56379473000000002</v>
      </c>
      <c r="AI10">
        <f>AH19-$AH$3</f>
        <v>0.1283302300000001</v>
      </c>
      <c r="AK10" s="1">
        <v>0.25</v>
      </c>
      <c r="AL10" s="1">
        <v>0.11641536</v>
      </c>
      <c r="AN10">
        <f t="shared" si="3"/>
        <v>0.12237279500000005</v>
      </c>
      <c r="AO10">
        <f t="shared" si="4"/>
        <v>8.4250853739562329E-3</v>
      </c>
      <c r="AQ10" s="8">
        <v>0.25</v>
      </c>
      <c r="AR10" s="8">
        <v>0.56379473000000002</v>
      </c>
      <c r="AS10">
        <f t="shared" si="5"/>
        <v>-3.6449259999999928E-2</v>
      </c>
      <c r="AU10" s="1">
        <v>0.125</v>
      </c>
      <c r="AV10" s="1">
        <v>0.34973307999999997</v>
      </c>
      <c r="AW10">
        <f t="shared" si="6"/>
        <v>0.12623893999999997</v>
      </c>
      <c r="AX10" s="1">
        <v>0.125</v>
      </c>
      <c r="AY10" s="1">
        <v>0.16301103</v>
      </c>
    </row>
    <row r="11" spans="1:51" x14ac:dyDescent="0.2">
      <c r="A11">
        <v>0.28333336110000001</v>
      </c>
      <c r="B11">
        <v>0.2213081419</v>
      </c>
      <c r="C11" s="1">
        <v>0.28333335999999998</v>
      </c>
      <c r="E11" s="1">
        <v>0.37603214000000001</v>
      </c>
      <c r="F11">
        <f t="shared" si="0"/>
        <v>0.15236340000000001</v>
      </c>
      <c r="I11" s="1">
        <v>0.28333335999999998</v>
      </c>
      <c r="J11" s="1">
        <v>0.23860297</v>
      </c>
      <c r="L11">
        <f t="shared" si="1"/>
        <v>0.20409150396666667</v>
      </c>
      <c r="M11">
        <f t="shared" si="2"/>
        <v>4.5624832325629881E-2</v>
      </c>
      <c r="O11" s="1"/>
      <c r="U11" s="1"/>
      <c r="AG11" s="1">
        <v>0.28333335999999998</v>
      </c>
      <c r="AH11" s="1">
        <v>0.57753319000000003</v>
      </c>
      <c r="AI11">
        <f>AH20-$AH$3</f>
        <v>0.15400314000000004</v>
      </c>
      <c r="AK11" s="1">
        <v>0.28333335999999998</v>
      </c>
      <c r="AL11" s="1">
        <v>0.145311</v>
      </c>
      <c r="AN11">
        <f t="shared" si="3"/>
        <v>0.14965707</v>
      </c>
      <c r="AO11">
        <f t="shared" si="4"/>
        <v>6.146271137022867E-3</v>
      </c>
      <c r="AQ11" s="8">
        <v>0.28333335999999998</v>
      </c>
      <c r="AR11" s="8">
        <v>0.57753319000000003</v>
      </c>
      <c r="AS11">
        <f t="shared" si="5"/>
        <v>-2.271079999999992E-2</v>
      </c>
      <c r="AU11" s="1">
        <v>0.14166667999999999</v>
      </c>
      <c r="AV11" s="1">
        <v>0.36938124999999999</v>
      </c>
      <c r="AW11">
        <f t="shared" si="6"/>
        <v>0.14588710999999999</v>
      </c>
      <c r="AX11" s="1">
        <v>0.14166667999999999</v>
      </c>
      <c r="AY11" s="1">
        <v>0.1791451</v>
      </c>
    </row>
    <row r="12" spans="1:51" x14ac:dyDescent="0.2">
      <c r="A12">
        <v>0.31666669250000001</v>
      </c>
      <c r="B12">
        <v>0.27623143789999999</v>
      </c>
      <c r="C12" s="1">
        <v>0.31666668999999997</v>
      </c>
      <c r="E12" s="1">
        <v>0.42155281</v>
      </c>
      <c r="F12">
        <f t="shared" si="0"/>
        <v>0.19788407</v>
      </c>
      <c r="I12" s="1">
        <v>0.31666668999999997</v>
      </c>
      <c r="J12" s="1">
        <v>0.26620593999999997</v>
      </c>
      <c r="L12">
        <f t="shared" si="1"/>
        <v>0.24677381596666667</v>
      </c>
      <c r="M12">
        <f t="shared" si="2"/>
        <v>4.2635467600926326E-2</v>
      </c>
      <c r="O12" s="1"/>
      <c r="U12" s="1"/>
      <c r="AG12" s="1">
        <v>0.31666668999999997</v>
      </c>
      <c r="AH12" s="1">
        <v>0.60452366000000002</v>
      </c>
      <c r="AI12">
        <f>AH21-$AH$3</f>
        <v>0.16676312000000004</v>
      </c>
      <c r="AK12" s="1">
        <v>0.31666668999999997</v>
      </c>
      <c r="AL12" s="1">
        <v>0.13629063999999999</v>
      </c>
      <c r="AN12">
        <f t="shared" si="3"/>
        <v>0.15152688000000003</v>
      </c>
      <c r="AO12">
        <f t="shared" si="4"/>
        <v>2.1547297247571158E-2</v>
      </c>
      <c r="AQ12" s="8">
        <v>0.31666668999999997</v>
      </c>
      <c r="AR12" s="8">
        <v>0.60452366000000002</v>
      </c>
      <c r="AS12">
        <f t="shared" si="5"/>
        <v>4.2796700000000687E-3</v>
      </c>
      <c r="AU12" s="1">
        <v>0.15833335000000001</v>
      </c>
      <c r="AV12" s="1">
        <v>0.3863183</v>
      </c>
      <c r="AW12">
        <f t="shared" si="6"/>
        <v>0.16282416</v>
      </c>
      <c r="AX12" s="1">
        <v>0.15833335000000001</v>
      </c>
      <c r="AY12" s="1">
        <v>0.19572870000000001</v>
      </c>
    </row>
    <row r="13" spans="1:51" x14ac:dyDescent="0.2">
      <c r="A13" s="4">
        <v>0.3500000238</v>
      </c>
      <c r="B13" s="4">
        <v>0.29669407009999998</v>
      </c>
      <c r="C13" s="1">
        <v>0.35000002000000002</v>
      </c>
      <c r="E13" s="1">
        <v>0.44511806999999998</v>
      </c>
      <c r="F13" s="4">
        <f t="shared" si="0"/>
        <v>0.22144932999999997</v>
      </c>
      <c r="I13" s="1">
        <v>0.35000002000000002</v>
      </c>
      <c r="J13" s="4">
        <v>0.29414477999999999</v>
      </c>
      <c r="L13">
        <f t="shared" si="1"/>
        <v>0.27076272669999996</v>
      </c>
      <c r="M13">
        <f t="shared" si="2"/>
        <v>4.2725671914812052E-2</v>
      </c>
      <c r="O13" s="1"/>
      <c r="U13" s="1"/>
      <c r="AG13" s="1">
        <v>0.35000002000000002</v>
      </c>
      <c r="AH13" s="1">
        <v>0.64162958000000003</v>
      </c>
      <c r="AI13">
        <f>AH22-$AH$3</f>
        <v>0.19443088000000008</v>
      </c>
      <c r="AK13" s="1">
        <v>0.35000002000000002</v>
      </c>
      <c r="AL13" s="1">
        <v>0.15005402000000001</v>
      </c>
      <c r="AN13">
        <f t="shared" si="3"/>
        <v>0.17224245000000005</v>
      </c>
      <c r="AO13">
        <f t="shared" si="4"/>
        <v>3.1379178633766172E-2</v>
      </c>
      <c r="AQ13" s="8">
        <v>0.35000002000000002</v>
      </c>
      <c r="AR13" s="8">
        <v>0.64162958000000003</v>
      </c>
      <c r="AS13">
        <f t="shared" si="5"/>
        <v>4.1385590000000083E-2</v>
      </c>
      <c r="AU13" s="1">
        <v>0.17500001000000001</v>
      </c>
      <c r="AV13" s="1">
        <v>0.40634266000000002</v>
      </c>
      <c r="AW13">
        <f t="shared" si="6"/>
        <v>0.18284852000000001</v>
      </c>
      <c r="AX13" s="1">
        <v>0.17500001000000001</v>
      </c>
      <c r="AY13" s="1">
        <v>0.21523946999999999</v>
      </c>
    </row>
    <row r="14" spans="1:51" x14ac:dyDescent="0.2">
      <c r="A14" s="4">
        <v>0.3833333552</v>
      </c>
      <c r="B14" s="4">
        <v>0.2842670679</v>
      </c>
      <c r="C14" s="1">
        <v>0.38333336000000001</v>
      </c>
      <c r="E14" s="1">
        <v>0.47196846999999997</v>
      </c>
      <c r="F14" s="4">
        <f t="shared" si="0"/>
        <v>0.24829972999999997</v>
      </c>
      <c r="I14" s="1">
        <v>0.38333336000000001</v>
      </c>
      <c r="J14" s="4">
        <v>0.30360546999999999</v>
      </c>
      <c r="L14">
        <f t="shared" si="1"/>
        <v>0.27872408929999998</v>
      </c>
      <c r="M14">
        <f t="shared" si="2"/>
        <v>2.8066433297748116E-2</v>
      </c>
      <c r="O14" s="1"/>
      <c r="U14" s="1"/>
      <c r="AG14" s="1">
        <v>0.38333336000000001</v>
      </c>
      <c r="AH14" s="1">
        <v>0.66080463</v>
      </c>
      <c r="AI14">
        <f>AH23-$AH$3</f>
        <v>0.20127743000000009</v>
      </c>
      <c r="AK14" s="1">
        <v>0.38333336000000001</v>
      </c>
      <c r="AL14" s="1">
        <v>0.18337961</v>
      </c>
      <c r="AN14">
        <f t="shared" si="3"/>
        <v>0.19232852000000006</v>
      </c>
      <c r="AO14">
        <f t="shared" si="4"/>
        <v>1.2655669890456279E-2</v>
      </c>
      <c r="AQ14" s="8">
        <v>0.38333336000000001</v>
      </c>
      <c r="AR14" s="8">
        <v>0.66080463</v>
      </c>
      <c r="AS14">
        <f t="shared" si="5"/>
        <v>6.0560640000000054E-2</v>
      </c>
      <c r="AU14" s="1">
        <v>0.19166668000000001</v>
      </c>
      <c r="AV14" s="1">
        <v>0.42407318999999999</v>
      </c>
      <c r="AW14">
        <f t="shared" si="6"/>
        <v>0.20057904999999998</v>
      </c>
      <c r="AX14" s="1">
        <v>0.19166668000000001</v>
      </c>
      <c r="AY14" s="1">
        <v>0.23477043</v>
      </c>
    </row>
    <row r="15" spans="1:51" x14ac:dyDescent="0.2">
      <c r="A15" s="4">
        <v>0.41666668649999999</v>
      </c>
      <c r="B15" s="4">
        <v>0.28787443039999999</v>
      </c>
      <c r="C15" s="1">
        <v>0.41666669000000001</v>
      </c>
      <c r="E15" s="1">
        <v>0.48283546999999999</v>
      </c>
      <c r="F15" s="4">
        <f t="shared" si="0"/>
        <v>0.25916673000000001</v>
      </c>
      <c r="I15" s="1">
        <v>0.41666669000000001</v>
      </c>
      <c r="J15" s="4">
        <v>0.30655384000000002</v>
      </c>
      <c r="L15">
        <f t="shared" si="1"/>
        <v>0.28453166680000003</v>
      </c>
      <c r="M15">
        <f t="shared" si="2"/>
        <v>2.3869752824487705E-2</v>
      </c>
      <c r="O15" s="1"/>
      <c r="U15" s="1"/>
      <c r="AG15" s="1">
        <v>0.41666669000000001</v>
      </c>
      <c r="AH15" s="1">
        <v>0.68234627999999997</v>
      </c>
      <c r="AI15">
        <f>AH24-$AH$3</f>
        <v>0.21765101000000009</v>
      </c>
      <c r="AK15" s="1">
        <v>0.41666669000000001</v>
      </c>
      <c r="AL15" s="1">
        <v>0.23969017000000001</v>
      </c>
      <c r="AN15">
        <f t="shared" si="3"/>
        <v>0.22867059000000006</v>
      </c>
      <c r="AO15">
        <f t="shared" si="4"/>
        <v>1.5584039487655254E-2</v>
      </c>
      <c r="AQ15" s="8">
        <v>0.41666669000000001</v>
      </c>
      <c r="AR15" s="8">
        <v>0.68234627999999997</v>
      </c>
      <c r="AS15">
        <f t="shared" si="5"/>
        <v>8.2102290000000022E-2</v>
      </c>
      <c r="AU15" s="1">
        <v>0.20833334000000001</v>
      </c>
      <c r="AV15" s="1">
        <v>0.44186302999999999</v>
      </c>
      <c r="AW15">
        <f t="shared" si="6"/>
        <v>0.21836888999999998</v>
      </c>
      <c r="AX15" s="1">
        <v>0.20833334000000001</v>
      </c>
      <c r="AY15" s="1">
        <v>0.24891384</v>
      </c>
    </row>
    <row r="16" spans="1:51" x14ac:dyDescent="0.2">
      <c r="A16" s="4">
        <v>0.45000001789999999</v>
      </c>
      <c r="B16" s="4">
        <v>0.2844089568</v>
      </c>
      <c r="C16" s="1">
        <v>0.45000002</v>
      </c>
      <c r="E16" s="1">
        <v>0.48815817</v>
      </c>
      <c r="F16" s="4">
        <f t="shared" si="0"/>
        <v>0.26448943000000003</v>
      </c>
      <c r="I16" s="1">
        <v>0.45000002</v>
      </c>
      <c r="J16" s="4">
        <v>0.31219681999999999</v>
      </c>
      <c r="L16">
        <f t="shared" si="1"/>
        <v>0.2870317356</v>
      </c>
      <c r="M16">
        <f t="shared" si="2"/>
        <v>2.3961594096143127E-2</v>
      </c>
      <c r="O16" s="1"/>
      <c r="U16" s="1"/>
      <c r="AG16" s="1">
        <v>0.45000002</v>
      </c>
      <c r="AH16" s="1">
        <v>0.69434923000000004</v>
      </c>
      <c r="AI16">
        <f>AH25-$AH$3</f>
        <v>0.23866814000000003</v>
      </c>
      <c r="AK16" s="1">
        <v>0.45000002</v>
      </c>
      <c r="AL16" s="1">
        <v>0.16951394</v>
      </c>
      <c r="AN16">
        <f t="shared" si="3"/>
        <v>0.20409104</v>
      </c>
      <c r="AO16">
        <f t="shared" si="4"/>
        <v>4.8899403767530977E-2</v>
      </c>
      <c r="AQ16" s="8">
        <v>0.45000002</v>
      </c>
      <c r="AR16" s="8">
        <v>0.69434923000000004</v>
      </c>
      <c r="AS16">
        <f t="shared" si="5"/>
        <v>9.410524000000009E-2</v>
      </c>
      <c r="AU16" s="1">
        <v>0.22500001</v>
      </c>
      <c r="AV16" s="1">
        <v>0.46772289</v>
      </c>
      <c r="AW16">
        <f t="shared" si="6"/>
        <v>0.24422874999999999</v>
      </c>
      <c r="AX16" s="1">
        <v>0.22500001</v>
      </c>
      <c r="AY16" s="1">
        <v>0.26813543000000001</v>
      </c>
    </row>
    <row r="17" spans="1:51" x14ac:dyDescent="0.2">
      <c r="A17" s="4">
        <v>0.48333334919999998</v>
      </c>
      <c r="B17" s="4">
        <v>0.28522276880000003</v>
      </c>
      <c r="C17" s="1">
        <v>0.48333334999999999</v>
      </c>
      <c r="E17" s="1">
        <v>0.49364271999999998</v>
      </c>
      <c r="F17" s="4">
        <f t="shared" si="0"/>
        <v>0.26997397999999995</v>
      </c>
      <c r="I17" s="1">
        <v>0.48333334999999999</v>
      </c>
      <c r="J17" s="4">
        <v>0.3007648</v>
      </c>
      <c r="L17">
        <f t="shared" si="1"/>
        <v>0.28532051626666671</v>
      </c>
      <c r="M17">
        <f t="shared" si="2"/>
        <v>1.539564272752296E-2</v>
      </c>
      <c r="O17" s="1"/>
      <c r="Q17" s="2" t="s">
        <v>63</v>
      </c>
      <c r="R17" s="2" t="s">
        <v>68</v>
      </c>
      <c r="S17" s="2" t="s">
        <v>69</v>
      </c>
      <c r="T17" s="2" t="s">
        <v>70</v>
      </c>
      <c r="V17" s="6" t="s">
        <v>70</v>
      </c>
      <c r="W17" s="7" t="s">
        <v>71</v>
      </c>
      <c r="AG17" s="1">
        <v>0.48333334999999999</v>
      </c>
      <c r="AH17" s="1">
        <v>0.71762722999999995</v>
      </c>
      <c r="AI17">
        <f>AH26-$AH$3</f>
        <v>0.25099635000000009</v>
      </c>
      <c r="AK17" s="1">
        <v>0.48333334999999999</v>
      </c>
      <c r="AL17" s="1">
        <v>0.21867706000000001</v>
      </c>
      <c r="AN17">
        <f t="shared" si="3"/>
        <v>0.23483670500000003</v>
      </c>
      <c r="AO17">
        <f t="shared" si="4"/>
        <v>2.2853189122134632E-2</v>
      </c>
      <c r="AQ17" s="8">
        <v>0.48333334999999999</v>
      </c>
      <c r="AR17" s="8">
        <v>0.71762722999999995</v>
      </c>
      <c r="AS17">
        <f t="shared" si="5"/>
        <v>0.11738324</v>
      </c>
      <c r="AU17" s="1">
        <v>0.24166667</v>
      </c>
      <c r="AV17" s="1">
        <v>0.48092478999999999</v>
      </c>
      <c r="AW17">
        <f t="shared" si="6"/>
        <v>0.25743064999999998</v>
      </c>
      <c r="AX17" s="1">
        <v>0.24166667</v>
      </c>
      <c r="AY17" s="1">
        <v>0.29443401000000002</v>
      </c>
    </row>
    <row r="18" spans="1:51" x14ac:dyDescent="0.2">
      <c r="A18" s="4">
        <v>0.51666665079999996</v>
      </c>
      <c r="B18" s="4">
        <v>0.28586357829999998</v>
      </c>
      <c r="C18" s="1">
        <v>0.51666665000000001</v>
      </c>
      <c r="E18" s="1">
        <v>0.49500622999999999</v>
      </c>
      <c r="F18" s="4">
        <f t="shared" si="0"/>
        <v>0.27133748999999996</v>
      </c>
      <c r="I18" s="1">
        <v>0.51666665000000001</v>
      </c>
      <c r="J18" s="4">
        <v>0.30536476000000001</v>
      </c>
      <c r="L18">
        <f t="shared" si="1"/>
        <v>0.28752194276666665</v>
      </c>
      <c r="M18">
        <f t="shared" si="2"/>
        <v>1.7074144354592206E-2</v>
      </c>
      <c r="O18" s="1"/>
      <c r="Q18" s="3">
        <f>SLOPE(B3:B33, $A$3:$A$33)*2</f>
        <v>1.022181130940981</v>
      </c>
      <c r="R18">
        <f>Q18/$X$4*1000</f>
        <v>81.12548658261754</v>
      </c>
      <c r="S18">
        <f>R18*$P$22</f>
        <v>0.40562743291308773</v>
      </c>
      <c r="T18">
        <f>S18/($R$22*5)</f>
        <v>2.7041828860872514</v>
      </c>
      <c r="V18" s="9">
        <f>AVERAGE(T18:T20)</f>
        <v>2.6779229837145997</v>
      </c>
      <c r="W18" s="10">
        <f>STDEV(T18:T20)</f>
        <v>7.9114899106166023E-2</v>
      </c>
      <c r="Y18" s="2"/>
      <c r="AA18" s="2" t="s">
        <v>63</v>
      </c>
      <c r="AB18" s="2" t="s">
        <v>68</v>
      </c>
      <c r="AC18" s="2" t="s">
        <v>69</v>
      </c>
      <c r="AD18" s="2" t="s">
        <v>70</v>
      </c>
      <c r="AG18" s="1">
        <v>0.51666665000000001</v>
      </c>
      <c r="AH18" s="1">
        <v>0.73306930000000003</v>
      </c>
      <c r="AI18">
        <f>AH27-$AH$3</f>
        <v>0.25112843000000007</v>
      </c>
      <c r="AK18" s="1">
        <v>0.51666665000000001</v>
      </c>
      <c r="AL18" s="1">
        <v>0.20742689</v>
      </c>
      <c r="AN18">
        <f t="shared" si="3"/>
        <v>0.22927766000000005</v>
      </c>
      <c r="AO18">
        <f t="shared" si="4"/>
        <v>3.0901655282295201E-2</v>
      </c>
      <c r="AQ18" s="8">
        <v>0.51666665000000001</v>
      </c>
      <c r="AR18" s="8">
        <v>0.73306930000000003</v>
      </c>
      <c r="AS18">
        <f t="shared" si="5"/>
        <v>0.13282531000000009</v>
      </c>
      <c r="AU18" s="1">
        <v>0.25833333000000003</v>
      </c>
      <c r="AV18" s="1">
        <v>0.50391370000000002</v>
      </c>
      <c r="AW18">
        <f t="shared" si="6"/>
        <v>0.28041956000000001</v>
      </c>
      <c r="AX18" s="1">
        <v>0.25833333000000003</v>
      </c>
      <c r="AY18" s="1">
        <v>0.31368098</v>
      </c>
    </row>
    <row r="19" spans="1:51" x14ac:dyDescent="0.2">
      <c r="A19" s="4">
        <v>0.55000001190000003</v>
      </c>
      <c r="B19" s="4">
        <v>0.279179126</v>
      </c>
      <c r="C19" s="1">
        <v>0.55000000999999998</v>
      </c>
      <c r="E19" s="1">
        <v>0.49059626000000001</v>
      </c>
      <c r="F19" s="4">
        <f t="shared" si="0"/>
        <v>0.26692751999999997</v>
      </c>
      <c r="I19" s="1">
        <v>0.55000000999999998</v>
      </c>
      <c r="J19" s="4">
        <v>0.31531194000000001</v>
      </c>
      <c r="L19">
        <f t="shared" si="1"/>
        <v>0.28713952866666664</v>
      </c>
      <c r="M19">
        <f t="shared" si="2"/>
        <v>2.5155298301664131E-2</v>
      </c>
      <c r="O19" s="1"/>
      <c r="Q19" s="3">
        <f>SLOPE(F3:F33, $A$3:$A$33)*2</f>
        <v>1.0359350399973271</v>
      </c>
      <c r="R19">
        <f>Q19/$X$4*1000</f>
        <v>82.217066666454542</v>
      </c>
      <c r="S19">
        <f>R19*$P$22</f>
        <v>0.41108533333227271</v>
      </c>
      <c r="T19">
        <f t="shared" ref="T19:T20" si="7">S19/($R$22*5)</f>
        <v>2.740568888881818</v>
      </c>
      <c r="V19" s="1"/>
      <c r="Y19" s="3"/>
      <c r="AA19" s="3"/>
      <c r="AE19" s="1"/>
      <c r="AG19" s="1">
        <v>0.55000000999999998</v>
      </c>
      <c r="AH19" s="1">
        <v>0.72857422000000005</v>
      </c>
      <c r="AI19">
        <f>AH28-$AH$3</f>
        <v>0.2750126100000001</v>
      </c>
      <c r="AK19" s="1">
        <v>0.55000000999999998</v>
      </c>
      <c r="AL19" s="1">
        <v>0.22724565999999999</v>
      </c>
      <c r="AN19">
        <f t="shared" si="3"/>
        <v>0.25112913500000006</v>
      </c>
      <c r="AO19">
        <f t="shared" si="4"/>
        <v>3.3776334261598838E-2</v>
      </c>
      <c r="AQ19" s="8">
        <v>0.55000000999999998</v>
      </c>
      <c r="AR19" s="8">
        <v>0.72857422000000005</v>
      </c>
      <c r="AS19">
        <f t="shared" si="5"/>
        <v>0.1283302300000001</v>
      </c>
      <c r="AU19" s="1">
        <v>0.27500001000000002</v>
      </c>
      <c r="AV19" s="1">
        <v>0.51677841000000002</v>
      </c>
      <c r="AW19">
        <f t="shared" si="6"/>
        <v>0.29328427000000001</v>
      </c>
      <c r="AX19" s="1">
        <v>0.27500001000000002</v>
      </c>
      <c r="AY19" s="1">
        <v>0.33023851999999998</v>
      </c>
    </row>
    <row r="20" spans="1:51" x14ac:dyDescent="0.2">
      <c r="A20" s="4">
        <v>0.58333331349999995</v>
      </c>
      <c r="B20" s="4">
        <v>0.2856654823</v>
      </c>
      <c r="C20" s="1">
        <v>0.58333330999999999</v>
      </c>
      <c r="E20" s="1">
        <v>0.50259346000000005</v>
      </c>
      <c r="F20" s="4">
        <f t="shared" si="0"/>
        <v>0.27892472000000001</v>
      </c>
      <c r="I20" s="1">
        <v>0.58333330999999999</v>
      </c>
      <c r="J20" s="4">
        <v>0.30861619000000001</v>
      </c>
      <c r="L20">
        <f t="shared" si="1"/>
        <v>0.2910687974333333</v>
      </c>
      <c r="M20">
        <f t="shared" si="2"/>
        <v>1.5565754350907856E-2</v>
      </c>
      <c r="O20" s="1"/>
      <c r="Q20" s="3">
        <f>SLOPE(J3:J33, $A$3:$A$33)*2</f>
        <v>0.97864849259404785</v>
      </c>
      <c r="R20">
        <f>Q20/$X$4*1000</f>
        <v>77.670515285241891</v>
      </c>
      <c r="S20">
        <f>R20*$P$22</f>
        <v>0.38835257642620946</v>
      </c>
      <c r="T20">
        <f t="shared" si="7"/>
        <v>2.58901717617473</v>
      </c>
      <c r="U20" s="1"/>
      <c r="Y20" s="3"/>
      <c r="AA20" s="3"/>
      <c r="AG20" s="1">
        <v>0.58333330999999999</v>
      </c>
      <c r="AH20" s="1">
        <v>0.75424712999999999</v>
      </c>
      <c r="AI20">
        <f>AH29-$AH$3</f>
        <v>0.27733492000000004</v>
      </c>
      <c r="AK20" s="1">
        <v>0.58333330999999999</v>
      </c>
      <c r="AL20" s="1">
        <v>0.25312765999999998</v>
      </c>
      <c r="AN20">
        <f t="shared" si="3"/>
        <v>0.26523129000000001</v>
      </c>
      <c r="AO20">
        <f t="shared" si="4"/>
        <v>1.7117117699945911E-2</v>
      </c>
      <c r="AQ20" s="8">
        <v>0.58333330999999999</v>
      </c>
      <c r="AR20" s="8">
        <v>0.75424712999999999</v>
      </c>
      <c r="AS20">
        <f t="shared" si="5"/>
        <v>0.15400314000000004</v>
      </c>
      <c r="AU20" s="1">
        <v>0.29166666000000002</v>
      </c>
      <c r="AV20" s="1">
        <v>0.54115020999999996</v>
      </c>
      <c r="AW20">
        <f t="shared" si="6"/>
        <v>0.31765606999999996</v>
      </c>
      <c r="AX20" s="1">
        <v>0.29166666000000002</v>
      </c>
      <c r="AY20" s="1">
        <v>0.34840961999999998</v>
      </c>
    </row>
    <row r="21" spans="1:51" x14ac:dyDescent="0.2">
      <c r="A21" s="4">
        <v>0.61666667460000002</v>
      </c>
      <c r="B21" s="4">
        <v>0.28956893090000002</v>
      </c>
      <c r="C21" s="1">
        <v>0.61666666999999997</v>
      </c>
      <c r="E21" s="1">
        <v>0.50628196999999997</v>
      </c>
      <c r="F21" s="4">
        <f t="shared" si="0"/>
        <v>0.28261322999999994</v>
      </c>
      <c r="I21" s="1">
        <v>0.61666666999999997</v>
      </c>
      <c r="J21" s="4">
        <v>0.31528311999999997</v>
      </c>
      <c r="L21">
        <f t="shared" si="1"/>
        <v>0.29582176029999996</v>
      </c>
      <c r="M21">
        <f t="shared" si="2"/>
        <v>1.7209120685908196E-2</v>
      </c>
      <c r="O21" s="1"/>
      <c r="AA21" s="3">
        <f>SLOPE(AV3:AV15,$AU$3:$AU$15)</f>
        <v>1.0878165030242366</v>
      </c>
      <c r="AB21">
        <f t="shared" ref="AB20:AB22" si="8">AA21/$X$4*1000</f>
        <v>86.334643097161646</v>
      </c>
      <c r="AC21">
        <f t="shared" ref="AC21:AC22" si="9">AB21*$Z$24</f>
        <v>8.6334643097161642E-2</v>
      </c>
      <c r="AD21">
        <f t="shared" ref="AD20:AD22" si="10">AC21/$R$22</f>
        <v>2.8778214365720549</v>
      </c>
      <c r="AG21" s="1">
        <v>0.61666666999999997</v>
      </c>
      <c r="AH21" s="1">
        <v>0.76700710999999999</v>
      </c>
      <c r="AI21">
        <f>AH30-$AH$3</f>
        <v>0.31539338000000006</v>
      </c>
      <c r="AK21" s="1">
        <v>0.61666666999999997</v>
      </c>
      <c r="AL21" s="1">
        <v>0.22775206000000001</v>
      </c>
      <c r="AN21">
        <f t="shared" si="3"/>
        <v>0.27157272000000005</v>
      </c>
      <c r="AO21">
        <f t="shared" si="4"/>
        <v>6.197177168413992E-2</v>
      </c>
      <c r="AQ21" s="8">
        <v>0.61666666999999997</v>
      </c>
      <c r="AR21" s="8">
        <v>0.76700710999999999</v>
      </c>
      <c r="AS21">
        <f t="shared" si="5"/>
        <v>0.16676312000000004</v>
      </c>
      <c r="AU21" s="1">
        <v>0.30833334000000001</v>
      </c>
      <c r="AV21" s="1">
        <v>0.55021083000000004</v>
      </c>
      <c r="AW21">
        <f t="shared" si="6"/>
        <v>0.32671669000000003</v>
      </c>
      <c r="AX21" s="1">
        <v>0.30833334000000001</v>
      </c>
      <c r="AY21" s="1">
        <v>0.37221134</v>
      </c>
    </row>
    <row r="22" spans="1:51" x14ac:dyDescent="0.2">
      <c r="A22" s="4">
        <v>0.64999997620000005</v>
      </c>
      <c r="B22" s="4">
        <v>0.30388015509999999</v>
      </c>
      <c r="C22" s="1">
        <v>0.64999998000000003</v>
      </c>
      <c r="E22" s="1">
        <v>0.52063197000000005</v>
      </c>
      <c r="F22" s="4">
        <f t="shared" si="0"/>
        <v>0.29696323000000002</v>
      </c>
      <c r="I22" s="1">
        <v>0.64999998000000003</v>
      </c>
      <c r="J22" s="4">
        <v>0.33492677999999998</v>
      </c>
      <c r="L22">
        <f t="shared" si="1"/>
        <v>0.31192338836666667</v>
      </c>
      <c r="M22">
        <f t="shared" si="2"/>
        <v>2.0219495126909928E-2</v>
      </c>
      <c r="O22" s="1"/>
      <c r="P22">
        <v>5.0000000000000001E-3</v>
      </c>
      <c r="Q22" t="s">
        <v>74</v>
      </c>
      <c r="R22">
        <v>0.03</v>
      </c>
      <c r="S22" t="s">
        <v>75</v>
      </c>
      <c r="AA22" s="3">
        <f>SLOPE(AY5:AY24,$AX$5:$AX$24)</f>
        <v>1.1166220624205077</v>
      </c>
      <c r="AB22">
        <f t="shared" si="8"/>
        <v>88.620798604802189</v>
      </c>
      <c r="AC22">
        <f t="shared" si="9"/>
        <v>8.8620798604802195E-2</v>
      </c>
      <c r="AD22">
        <f t="shared" si="10"/>
        <v>2.9540266201600733</v>
      </c>
      <c r="AG22" s="1">
        <v>0.64999998000000003</v>
      </c>
      <c r="AH22" s="1">
        <v>0.79467487000000003</v>
      </c>
      <c r="AI22">
        <f>AH31-$AH$3</f>
        <v>0.28428608</v>
      </c>
      <c r="AK22" s="1">
        <v>0.64999998000000003</v>
      </c>
      <c r="AL22" s="1">
        <v>0.23129037</v>
      </c>
      <c r="AN22">
        <f t="shared" si="3"/>
        <v>0.25778822499999998</v>
      </c>
      <c r="AO22">
        <f t="shared" si="4"/>
        <v>3.7473625914795923E-2</v>
      </c>
      <c r="AQ22" s="8">
        <v>0.64999998000000003</v>
      </c>
      <c r="AR22" s="8">
        <v>0.79467487000000003</v>
      </c>
      <c r="AS22">
        <f t="shared" si="5"/>
        <v>0.19443088000000008</v>
      </c>
      <c r="AU22" s="1">
        <v>0.32499999000000002</v>
      </c>
      <c r="AV22" s="1">
        <v>0.56518906000000002</v>
      </c>
      <c r="AW22">
        <f t="shared" si="6"/>
        <v>0.34169492000000001</v>
      </c>
      <c r="AX22" s="1">
        <v>0.32499999000000002</v>
      </c>
      <c r="AY22" s="1">
        <v>0.39086549999999998</v>
      </c>
    </row>
    <row r="23" spans="1:51" x14ac:dyDescent="0.2">
      <c r="A23" s="4">
        <v>0.68333333730000001</v>
      </c>
      <c r="B23" s="4">
        <v>0.33180081839999997</v>
      </c>
      <c r="C23" s="1">
        <v>0.68333334000000001</v>
      </c>
      <c r="E23" s="1">
        <v>0.53865224</v>
      </c>
      <c r="F23" s="4">
        <f t="shared" si="0"/>
        <v>0.31498349999999997</v>
      </c>
      <c r="I23" s="1">
        <v>0.68333334000000001</v>
      </c>
      <c r="J23" s="4">
        <v>0.35583785000000001</v>
      </c>
      <c r="L23">
        <f t="shared" si="1"/>
        <v>0.33420738946666662</v>
      </c>
      <c r="M23">
        <f t="shared" si="2"/>
        <v>2.0533221050405455E-2</v>
      </c>
      <c r="O23" s="1"/>
      <c r="U23" s="1"/>
      <c r="AG23" s="1">
        <v>0.68333334000000001</v>
      </c>
      <c r="AH23" s="1">
        <v>0.80152142000000004</v>
      </c>
      <c r="AI23">
        <f>AH32-$AH$3</f>
        <v>0.34279817000000001</v>
      </c>
      <c r="AK23" s="1">
        <v>0.68333334000000001</v>
      </c>
      <c r="AL23" s="1">
        <v>0.29407421</v>
      </c>
      <c r="AN23">
        <f t="shared" si="3"/>
        <v>0.31843619000000001</v>
      </c>
      <c r="AO23">
        <f t="shared" si="4"/>
        <v>3.4453042522262098E-2</v>
      </c>
      <c r="AQ23" s="8">
        <v>0.68333334000000001</v>
      </c>
      <c r="AR23" s="8">
        <v>0.80152142000000004</v>
      </c>
      <c r="AS23">
        <f t="shared" si="5"/>
        <v>0.20127743000000009</v>
      </c>
      <c r="AU23" s="1">
        <v>0.34166667000000001</v>
      </c>
      <c r="AV23" s="1">
        <v>0.58842176000000002</v>
      </c>
      <c r="AW23">
        <f t="shared" si="6"/>
        <v>0.36492762000000001</v>
      </c>
      <c r="AX23" s="1">
        <v>0.34166667000000001</v>
      </c>
      <c r="AY23" s="1">
        <v>0.40720207000000003</v>
      </c>
    </row>
    <row r="24" spans="1:51" x14ac:dyDescent="0.2">
      <c r="A24" s="4">
        <v>0.71666663890000004</v>
      </c>
      <c r="B24" s="4">
        <v>0.34712979199999999</v>
      </c>
      <c r="C24" s="1">
        <v>0.71666664000000002</v>
      </c>
      <c r="E24" s="1">
        <v>0.55143332</v>
      </c>
      <c r="F24" s="4">
        <f t="shared" si="0"/>
        <v>0.32776457999999997</v>
      </c>
      <c r="I24" s="1">
        <v>0.71666664000000002</v>
      </c>
      <c r="J24" s="4">
        <v>0.37803104999999998</v>
      </c>
      <c r="L24">
        <f t="shared" si="1"/>
        <v>0.35097514066666663</v>
      </c>
      <c r="M24">
        <f t="shared" si="2"/>
        <v>2.535289986059586E-2</v>
      </c>
      <c r="O24" s="1"/>
      <c r="U24" s="1"/>
      <c r="Z24">
        <v>1E-3</v>
      </c>
      <c r="AA24" t="s">
        <v>74</v>
      </c>
      <c r="AC24" s="6" t="s">
        <v>70</v>
      </c>
      <c r="AD24" s="7" t="s">
        <v>71</v>
      </c>
      <c r="AG24" s="1">
        <v>0.71666664000000002</v>
      </c>
      <c r="AH24" s="1">
        <v>0.81789500000000004</v>
      </c>
      <c r="AI24">
        <f>AH33-$AH$3</f>
        <v>0.33560431000000002</v>
      </c>
      <c r="AK24" s="1">
        <v>0.71666664000000002</v>
      </c>
      <c r="AL24" s="1">
        <v>0.22123623000000001</v>
      </c>
      <c r="AN24">
        <f t="shared" si="3"/>
        <v>0.27842027000000003</v>
      </c>
      <c r="AO24">
        <f t="shared" si="4"/>
        <v>8.087044491928555E-2</v>
      </c>
      <c r="AQ24" s="8">
        <v>0.71666664000000002</v>
      </c>
      <c r="AR24" s="8">
        <v>0.81789500000000004</v>
      </c>
      <c r="AS24">
        <f t="shared" si="5"/>
        <v>0.21765101000000009</v>
      </c>
      <c r="AU24" s="1">
        <v>0.35833332000000001</v>
      </c>
      <c r="AV24" s="1">
        <v>0.60670411999999996</v>
      </c>
      <c r="AW24">
        <f t="shared" si="6"/>
        <v>0.38320997999999995</v>
      </c>
      <c r="AX24" s="1">
        <v>0.35833332000000001</v>
      </c>
      <c r="AY24" s="1">
        <v>0.42685282000000002</v>
      </c>
    </row>
    <row r="25" spans="1:51" x14ac:dyDescent="0.2">
      <c r="A25" s="4">
        <v>0.75</v>
      </c>
      <c r="B25" s="4">
        <v>0.38337957859999999</v>
      </c>
      <c r="C25" s="1">
        <v>0.75</v>
      </c>
      <c r="E25" s="1">
        <v>0.57718234999999996</v>
      </c>
      <c r="F25" s="4">
        <f t="shared" si="0"/>
        <v>0.35351360999999992</v>
      </c>
      <c r="I25" s="1">
        <v>0.75</v>
      </c>
      <c r="J25" s="4">
        <v>0.39805675000000001</v>
      </c>
      <c r="L25">
        <f t="shared" si="1"/>
        <v>0.3783166462</v>
      </c>
      <c r="M25">
        <f t="shared" si="2"/>
        <v>2.2699070325238643E-2</v>
      </c>
      <c r="O25" s="1"/>
      <c r="U25" s="1"/>
      <c r="Z25">
        <v>0.03</v>
      </c>
      <c r="AA25" t="s">
        <v>75</v>
      </c>
      <c r="AC25" s="9">
        <f>AVERAGE(AD21:AD22)</f>
        <v>2.9159240283660641</v>
      </c>
      <c r="AD25" s="10">
        <f>STDEV(AD21:AD22)</f>
        <v>5.3885202076653628E-2</v>
      </c>
      <c r="AG25" s="1">
        <v>0.75</v>
      </c>
      <c r="AH25" s="1">
        <v>0.83891212999999998</v>
      </c>
      <c r="AI25">
        <f>AH34-$AH$3</f>
        <v>0.33179843000000009</v>
      </c>
      <c r="AK25" s="1">
        <v>0.75</v>
      </c>
      <c r="AL25" s="1">
        <v>0.28076759000000001</v>
      </c>
      <c r="AN25">
        <f t="shared" si="3"/>
        <v>0.30628301000000002</v>
      </c>
      <c r="AO25">
        <f t="shared" si="4"/>
        <v>3.6084253013645769E-2</v>
      </c>
      <c r="AQ25" s="8">
        <v>0.75</v>
      </c>
      <c r="AR25" s="8">
        <v>0.83891212999999998</v>
      </c>
      <c r="AS25">
        <f t="shared" si="5"/>
        <v>0.23866814000000003</v>
      </c>
      <c r="AU25" s="1">
        <v>0.375</v>
      </c>
      <c r="AV25" s="1">
        <v>0.62643486000000004</v>
      </c>
      <c r="AW25">
        <f t="shared" si="6"/>
        <v>0.40294072000000003</v>
      </c>
      <c r="AX25" s="1">
        <v>0.375</v>
      </c>
      <c r="AY25" s="1">
        <v>0.44952219999999998</v>
      </c>
    </row>
    <row r="26" spans="1:51" x14ac:dyDescent="0.2">
      <c r="A26" s="4">
        <v>0.78333330150000002</v>
      </c>
      <c r="B26" s="4">
        <v>0.39040625099999998</v>
      </c>
      <c r="C26" s="1">
        <v>0.78333330000000001</v>
      </c>
      <c r="E26" s="1">
        <v>0.59973841999999999</v>
      </c>
      <c r="F26" s="4">
        <f t="shared" si="0"/>
        <v>0.37606967999999996</v>
      </c>
      <c r="I26" s="1">
        <v>0.78333330000000001</v>
      </c>
      <c r="J26" s="4">
        <v>0.41572492999999999</v>
      </c>
      <c r="L26">
        <f t="shared" si="1"/>
        <v>0.39406695366666672</v>
      </c>
      <c r="M26">
        <f t="shared" si="2"/>
        <v>2.0079473876347731E-2</v>
      </c>
      <c r="O26" s="1"/>
      <c r="U26" s="1"/>
      <c r="AG26" s="1">
        <v>0.78333330000000001</v>
      </c>
      <c r="AH26" s="1">
        <v>0.85124034000000004</v>
      </c>
      <c r="AI26">
        <f>AH35-$AH$3</f>
        <v>0.31836074000000003</v>
      </c>
      <c r="AK26" s="1">
        <v>0.78333330000000001</v>
      </c>
      <c r="AL26" s="1">
        <v>0.29715090999999999</v>
      </c>
      <c r="AN26">
        <f t="shared" si="3"/>
        <v>0.30775582499999998</v>
      </c>
      <c r="AO26">
        <f t="shared" si="4"/>
        <v>1.49976146208139E-2</v>
      </c>
      <c r="AQ26" s="8">
        <v>0.78333330000000001</v>
      </c>
      <c r="AR26" s="8">
        <v>0.85124034000000004</v>
      </c>
      <c r="AS26">
        <f t="shared" si="5"/>
        <v>0.25099635000000009</v>
      </c>
      <c r="AU26" s="1">
        <v>0.39166665000000001</v>
      </c>
      <c r="AV26" s="1">
        <v>0.63045985000000004</v>
      </c>
      <c r="AW26">
        <f t="shared" si="6"/>
        <v>0.40696571000000004</v>
      </c>
      <c r="AX26" s="1">
        <v>0.39166665000000001</v>
      </c>
      <c r="AY26" s="1">
        <v>0.47203498999999999</v>
      </c>
    </row>
    <row r="27" spans="1:51" x14ac:dyDescent="0.2">
      <c r="A27" s="4">
        <v>0.81666666269999999</v>
      </c>
      <c r="B27" s="4">
        <v>0.41370132570000001</v>
      </c>
      <c r="C27" s="1">
        <v>0.81666665999999999</v>
      </c>
      <c r="E27" s="1">
        <v>0.62002312999999998</v>
      </c>
      <c r="F27" s="4">
        <f t="shared" si="0"/>
        <v>0.39635438999999995</v>
      </c>
      <c r="I27" s="1">
        <v>0.81666665999999999</v>
      </c>
      <c r="J27" s="4">
        <v>0.43374689999999999</v>
      </c>
      <c r="L27">
        <f t="shared" si="1"/>
        <v>0.4146008719</v>
      </c>
      <c r="M27">
        <f t="shared" si="2"/>
        <v>1.8712478150941864E-2</v>
      </c>
      <c r="O27" s="1"/>
      <c r="U27" s="1"/>
      <c r="AG27" s="1">
        <v>0.81666665999999999</v>
      </c>
      <c r="AH27" s="1">
        <v>0.85137242000000002</v>
      </c>
      <c r="AI27">
        <f>AH36-$AH$3</f>
        <v>0.36324495000000001</v>
      </c>
      <c r="AK27" s="1">
        <v>0.81666665999999999</v>
      </c>
      <c r="AL27" s="1">
        <v>0.23754481999999999</v>
      </c>
      <c r="AN27">
        <f t="shared" si="3"/>
        <v>0.300394885</v>
      </c>
      <c r="AO27">
        <f t="shared" si="4"/>
        <v>8.888341431903049E-2</v>
      </c>
      <c r="AQ27" s="8">
        <v>0.81666665999999999</v>
      </c>
      <c r="AR27" s="8">
        <v>0.85137242000000002</v>
      </c>
      <c r="AS27">
        <f t="shared" si="5"/>
        <v>0.25112843000000007</v>
      </c>
      <c r="AU27" s="1">
        <v>0.40833332999999999</v>
      </c>
      <c r="AV27" s="1">
        <v>0.65605879</v>
      </c>
      <c r="AW27">
        <f t="shared" si="6"/>
        <v>0.43256464999999999</v>
      </c>
      <c r="AX27" s="1">
        <v>0.40833332999999999</v>
      </c>
      <c r="AY27" s="1">
        <v>0.47830433</v>
      </c>
    </row>
    <row r="28" spans="1:51" x14ac:dyDescent="0.2">
      <c r="A28" s="4">
        <v>0.84999996420000001</v>
      </c>
      <c r="B28" s="4">
        <v>0.4458391666</v>
      </c>
      <c r="C28" s="1">
        <v>0.84999996</v>
      </c>
      <c r="E28" s="1">
        <v>0.63883531000000005</v>
      </c>
      <c r="F28" s="4">
        <f t="shared" si="0"/>
        <v>0.41516657000000001</v>
      </c>
      <c r="I28" s="1">
        <v>0.84999996</v>
      </c>
      <c r="J28" s="4">
        <v>0.45180023000000002</v>
      </c>
      <c r="L28">
        <f t="shared" si="1"/>
        <v>0.43760198886666668</v>
      </c>
      <c r="M28">
        <f t="shared" si="2"/>
        <v>1.9656922037969017E-2</v>
      </c>
      <c r="O28" s="1"/>
      <c r="U28" s="1"/>
      <c r="AG28" s="1">
        <v>0.84999996</v>
      </c>
      <c r="AH28" s="1">
        <v>0.87525660000000005</v>
      </c>
      <c r="AI28">
        <f>AH37-$AH$3</f>
        <v>0.34674257000000008</v>
      </c>
      <c r="AK28" s="1">
        <v>0.84999996</v>
      </c>
      <c r="AL28" s="1">
        <v>0.25879791000000002</v>
      </c>
      <c r="AN28">
        <f t="shared" si="3"/>
        <v>0.30277024000000008</v>
      </c>
      <c r="AO28">
        <f t="shared" si="4"/>
        <v>6.2186265455145016E-2</v>
      </c>
      <c r="AQ28" s="8">
        <v>0.84999996</v>
      </c>
      <c r="AR28" s="8">
        <v>0.87525660000000005</v>
      </c>
      <c r="AS28">
        <f t="shared" si="5"/>
        <v>0.2750126100000001</v>
      </c>
      <c r="AU28" s="1">
        <v>0.42499998</v>
      </c>
      <c r="AV28" s="1">
        <v>0.66233456000000002</v>
      </c>
      <c r="AW28">
        <f t="shared" si="6"/>
        <v>0.43884042000000001</v>
      </c>
      <c r="AX28" s="1">
        <v>0.42499998</v>
      </c>
      <c r="AY28" s="1">
        <v>0.50448274999999998</v>
      </c>
    </row>
    <row r="29" spans="1:51" x14ac:dyDescent="0.2">
      <c r="A29" s="4">
        <v>0.88333332539999998</v>
      </c>
      <c r="B29" s="4">
        <v>0.46515965460000003</v>
      </c>
      <c r="C29" s="1">
        <v>0.88333333000000003</v>
      </c>
      <c r="E29" s="1">
        <v>0.66256356000000005</v>
      </c>
      <c r="F29" s="4">
        <f t="shared" si="0"/>
        <v>0.43889482000000002</v>
      </c>
      <c r="I29" s="1">
        <v>0.88333333000000003</v>
      </c>
      <c r="J29" s="4">
        <v>0.47902429000000002</v>
      </c>
      <c r="L29">
        <f t="shared" si="1"/>
        <v>0.46102625486666665</v>
      </c>
      <c r="M29">
        <f t="shared" si="2"/>
        <v>2.0381543995410777E-2</v>
      </c>
      <c r="O29" s="1"/>
      <c r="U29" s="1"/>
      <c r="AG29" s="1">
        <v>0.88333333000000003</v>
      </c>
      <c r="AH29" s="1">
        <v>0.87757890999999999</v>
      </c>
      <c r="AI29">
        <f>AH38-$AH$3</f>
        <v>0.39693874000000007</v>
      </c>
      <c r="AK29" s="1">
        <v>0.88333333000000003</v>
      </c>
      <c r="AL29" s="1">
        <v>0.29269508</v>
      </c>
      <c r="AN29">
        <f t="shared" si="3"/>
        <v>0.34481691000000003</v>
      </c>
      <c r="AO29">
        <f t="shared" si="4"/>
        <v>7.3711398881704873E-2</v>
      </c>
      <c r="AQ29" s="8">
        <v>0.88333333000000003</v>
      </c>
      <c r="AR29" s="8">
        <v>0.87757890999999999</v>
      </c>
      <c r="AS29">
        <f t="shared" si="5"/>
        <v>0.27733492000000004</v>
      </c>
      <c r="AU29" s="1">
        <v>0.44166665999999999</v>
      </c>
      <c r="AV29" s="1">
        <v>0.67096162000000004</v>
      </c>
      <c r="AW29">
        <f t="shared" si="6"/>
        <v>0.44746748000000003</v>
      </c>
      <c r="AX29" s="1">
        <v>0.44166665999999999</v>
      </c>
      <c r="AY29" s="1">
        <v>0.52014536</v>
      </c>
    </row>
    <row r="30" spans="1:51" x14ac:dyDescent="0.2">
      <c r="A30" s="4">
        <v>0.9166666269</v>
      </c>
      <c r="B30" s="4">
        <v>0.47850272059999999</v>
      </c>
      <c r="C30" s="1">
        <v>0.91666663000000004</v>
      </c>
      <c r="E30" s="1">
        <v>0.67425208999999997</v>
      </c>
      <c r="F30" s="4">
        <f t="shared" si="0"/>
        <v>0.45058334999999994</v>
      </c>
      <c r="I30" s="1">
        <v>0.91666663000000004</v>
      </c>
      <c r="J30" s="4">
        <v>0.48966616000000002</v>
      </c>
      <c r="L30">
        <f t="shared" si="1"/>
        <v>0.4729174102</v>
      </c>
      <c r="M30">
        <f t="shared" si="2"/>
        <v>2.0131151943500097E-2</v>
      </c>
      <c r="O30" s="1"/>
      <c r="U30" s="1"/>
      <c r="AG30" s="1">
        <v>0.91666663000000004</v>
      </c>
      <c r="AH30" s="1">
        <v>0.91563737000000001</v>
      </c>
      <c r="AI30">
        <f>AH39-$AH$3</f>
        <v>0.35171061000000003</v>
      </c>
      <c r="AK30" s="1">
        <v>0.91666663000000004</v>
      </c>
      <c r="AL30" s="1">
        <v>0.27443114000000002</v>
      </c>
      <c r="AN30">
        <f t="shared" si="3"/>
        <v>0.31307087500000003</v>
      </c>
      <c r="AO30">
        <f t="shared" si="4"/>
        <v>5.4644837283502334E-2</v>
      </c>
      <c r="AQ30" s="8">
        <v>0.91666663000000004</v>
      </c>
      <c r="AR30" s="8">
        <v>0.91563737000000001</v>
      </c>
      <c r="AS30">
        <f t="shared" si="5"/>
        <v>0.31539338000000006</v>
      </c>
      <c r="AU30" s="1">
        <v>0.45833330999999999</v>
      </c>
      <c r="AV30" s="1">
        <v>0.70663005000000001</v>
      </c>
      <c r="AW30">
        <f t="shared" si="6"/>
        <v>0.48313591</v>
      </c>
      <c r="AX30" s="1">
        <v>0.45833330999999999</v>
      </c>
      <c r="AY30" s="1">
        <v>0.54036552000000004</v>
      </c>
    </row>
    <row r="31" spans="1:51" x14ac:dyDescent="0.2">
      <c r="A31" s="4">
        <v>0.94999998809999997</v>
      </c>
      <c r="B31" s="4">
        <v>0.49559465050000001</v>
      </c>
      <c r="C31" s="1">
        <v>0.94999999000000002</v>
      </c>
      <c r="E31" s="1">
        <v>0.70989579000000003</v>
      </c>
      <c r="F31" s="4">
        <f t="shared" si="0"/>
        <v>0.48622704999999999</v>
      </c>
      <c r="I31" s="1">
        <v>0.94999999000000002</v>
      </c>
      <c r="J31" s="4">
        <v>0.49868274000000001</v>
      </c>
      <c r="L31">
        <f t="shared" si="1"/>
        <v>0.49350148016666667</v>
      </c>
      <c r="M31">
        <f t="shared" si="2"/>
        <v>6.4862990123247645E-3</v>
      </c>
      <c r="O31" s="1"/>
      <c r="U31" s="1"/>
      <c r="AG31" s="1">
        <v>0.94999999000000002</v>
      </c>
      <c r="AH31" s="1">
        <v>0.88453006999999995</v>
      </c>
      <c r="AI31">
        <f>AH40-$AH$3</f>
        <v>0.37005525000000006</v>
      </c>
      <c r="AK31" s="1">
        <v>0.94999999000000002</v>
      </c>
      <c r="AL31" s="1">
        <v>0.28379944000000001</v>
      </c>
      <c r="AN31">
        <f t="shared" si="3"/>
        <v>0.32692734500000004</v>
      </c>
      <c r="AO31">
        <f t="shared" si="4"/>
        <v>6.099206816773857E-2</v>
      </c>
      <c r="AQ31" s="8">
        <v>0.94999999000000002</v>
      </c>
      <c r="AR31" s="8">
        <v>0.88453006999999995</v>
      </c>
      <c r="AS31">
        <f t="shared" si="5"/>
        <v>0.28428608</v>
      </c>
      <c r="AU31" s="1">
        <v>0.47499998999999998</v>
      </c>
      <c r="AV31" s="1">
        <v>0.70991439000000001</v>
      </c>
      <c r="AW31">
        <f t="shared" si="6"/>
        <v>0.48642025</v>
      </c>
      <c r="AX31" s="1">
        <v>0.47499998999999998</v>
      </c>
      <c r="AY31" s="1">
        <v>0.55665456999999996</v>
      </c>
    </row>
    <row r="32" spans="1:51" x14ac:dyDescent="0.2">
      <c r="A32" s="4">
        <v>0.98333328959999999</v>
      </c>
      <c r="B32" s="4">
        <v>0.50136625769999998</v>
      </c>
      <c r="C32" s="1">
        <v>0.98333329000000003</v>
      </c>
      <c r="E32" s="1">
        <v>0.71325231</v>
      </c>
      <c r="F32" s="4">
        <f t="shared" si="0"/>
        <v>0.48958356999999997</v>
      </c>
      <c r="I32" s="1">
        <v>0.98333329000000003</v>
      </c>
      <c r="J32" s="4">
        <v>0.51053870000000001</v>
      </c>
      <c r="L32">
        <f t="shared" si="1"/>
        <v>0.50049617589999995</v>
      </c>
      <c r="M32">
        <f t="shared" si="2"/>
        <v>1.0504625175761574E-2</v>
      </c>
      <c r="O32" s="1"/>
      <c r="U32" s="1"/>
      <c r="AG32" s="1">
        <v>0.98333329000000003</v>
      </c>
      <c r="AH32" s="1">
        <v>0.94304215999999996</v>
      </c>
      <c r="AI32">
        <f>AH41-$AH$3</f>
        <v>0.38226205000000002</v>
      </c>
      <c r="AK32" s="1">
        <v>0.98333329000000003</v>
      </c>
      <c r="AL32" s="1">
        <v>0.29691792</v>
      </c>
      <c r="AN32">
        <f t="shared" si="3"/>
        <v>0.33958998500000004</v>
      </c>
      <c r="AO32">
        <f t="shared" si="4"/>
        <v>6.0347413057466E-2</v>
      </c>
      <c r="AQ32" s="8">
        <v>0.98333329000000003</v>
      </c>
      <c r="AR32" s="8">
        <v>0.94304215999999996</v>
      </c>
      <c r="AS32">
        <f t="shared" si="5"/>
        <v>0.34279817000000001</v>
      </c>
      <c r="AU32" s="1">
        <v>0.49166663999999999</v>
      </c>
      <c r="AV32" s="1">
        <v>0.74504733000000001</v>
      </c>
      <c r="AW32">
        <f t="shared" si="6"/>
        <v>0.52155319</v>
      </c>
      <c r="AX32" s="1">
        <v>0.49166663999999999</v>
      </c>
      <c r="AY32" s="1">
        <v>0.57445055</v>
      </c>
    </row>
    <row r="33" spans="1:51" x14ac:dyDescent="0.2">
      <c r="A33" s="4">
        <v>1.016666651</v>
      </c>
      <c r="B33" s="4">
        <v>0.5185588002</v>
      </c>
      <c r="C33" s="1">
        <v>1.0166666499999999</v>
      </c>
      <c r="E33" s="1">
        <v>0.70912903999999999</v>
      </c>
      <c r="F33" s="4">
        <f t="shared" si="0"/>
        <v>0.48546029999999996</v>
      </c>
      <c r="I33" s="1">
        <v>1.0166666499999999</v>
      </c>
      <c r="J33" s="4">
        <v>0.51468068</v>
      </c>
      <c r="L33">
        <f t="shared" si="1"/>
        <v>0.50623326006666669</v>
      </c>
      <c r="M33">
        <f t="shared" si="2"/>
        <v>1.8094111100573827E-2</v>
      </c>
      <c r="O33" s="1"/>
      <c r="U33" s="1"/>
      <c r="AG33" s="1">
        <v>1.0166666499999999</v>
      </c>
      <c r="AH33" s="1">
        <v>0.93584829999999997</v>
      </c>
      <c r="AI33">
        <f>AH42-$AH$3</f>
        <v>0.40919238000000002</v>
      </c>
      <c r="AK33" s="1">
        <v>1.0166666499999999</v>
      </c>
      <c r="AL33" s="1">
        <v>0.28409898</v>
      </c>
      <c r="AN33">
        <f t="shared" si="3"/>
        <v>0.34664568000000001</v>
      </c>
      <c r="AO33">
        <f t="shared" si="4"/>
        <v>8.8454391421681322E-2</v>
      </c>
      <c r="AQ33" s="8">
        <v>1.0166666499999999</v>
      </c>
      <c r="AR33" s="8">
        <v>0.93584829999999997</v>
      </c>
      <c r="AS33">
        <f t="shared" si="5"/>
        <v>0.33560431000000002</v>
      </c>
      <c r="AU33" s="1">
        <v>0.50833333000000003</v>
      </c>
      <c r="AV33" s="1">
        <v>0.73477506999999997</v>
      </c>
      <c r="AW33">
        <f t="shared" si="6"/>
        <v>0.51128092999999997</v>
      </c>
      <c r="AX33" s="1">
        <v>0.50833333000000003</v>
      </c>
      <c r="AY33" s="1">
        <v>0.60174536999999995</v>
      </c>
    </row>
    <row r="34" spans="1:51" x14ac:dyDescent="0.2">
      <c r="A34" s="4">
        <v>1.0499999520000001</v>
      </c>
      <c r="B34" s="4">
        <v>0.52549570800000001</v>
      </c>
      <c r="C34" s="1">
        <v>1.0499999499999999</v>
      </c>
      <c r="E34">
        <f>G34+$H$34</f>
        <v>0.70912903999999999</v>
      </c>
      <c r="F34">
        <f t="shared" si="0"/>
        <v>0.48546029999999996</v>
      </c>
      <c r="G34" s="1">
        <v>0.37409151000000002</v>
      </c>
      <c r="H34">
        <f>E33-G34</f>
        <v>0.33503752999999997</v>
      </c>
      <c r="I34" s="1">
        <v>1.0499999499999999</v>
      </c>
      <c r="J34" s="1">
        <v>0.5343523</v>
      </c>
      <c r="L34">
        <f t="shared" si="1"/>
        <v>0.51510276933333332</v>
      </c>
      <c r="M34">
        <f t="shared" si="2"/>
        <v>2.6050274405403539E-2</v>
      </c>
      <c r="O34" s="1"/>
      <c r="U34" s="1"/>
      <c r="AG34" s="1">
        <v>1.0499999499999999</v>
      </c>
      <c r="AH34" s="1">
        <v>0.93204242000000004</v>
      </c>
      <c r="AI34">
        <f>AH43-$AH$3</f>
        <v>0.40700203000000001</v>
      </c>
      <c r="AK34" s="1">
        <v>1.0499999499999999</v>
      </c>
      <c r="AL34" s="1">
        <v>0.31335362999999999</v>
      </c>
      <c r="AN34">
        <f t="shared" si="3"/>
        <v>0.36017783000000003</v>
      </c>
      <c r="AO34">
        <f t="shared" si="4"/>
        <v>6.6219418687269896E-2</v>
      </c>
      <c r="AQ34" s="8">
        <v>1.0499999499999999</v>
      </c>
      <c r="AR34" s="8">
        <v>0.93204242000000004</v>
      </c>
      <c r="AS34">
        <f t="shared" si="5"/>
        <v>0.33179843000000009</v>
      </c>
      <c r="AU34" s="1">
        <v>0.52499998000000003</v>
      </c>
      <c r="AV34" s="1">
        <v>0.76464611000000005</v>
      </c>
      <c r="AW34">
        <f t="shared" si="6"/>
        <v>0.54115197000000004</v>
      </c>
      <c r="AX34" s="1">
        <v>0.52499998000000003</v>
      </c>
      <c r="AY34" s="1">
        <v>0.61702615000000005</v>
      </c>
    </row>
    <row r="35" spans="1:51" x14ac:dyDescent="0.2">
      <c r="A35">
        <v>1.0833333730000001</v>
      </c>
      <c r="B35">
        <v>0.52780324219999997</v>
      </c>
      <c r="C35" s="1">
        <v>1.0833333700000001</v>
      </c>
      <c r="E35">
        <f>G35+$H$34</f>
        <v>0.72420105000000001</v>
      </c>
      <c r="F35">
        <f t="shared" si="0"/>
        <v>0.50053230999999998</v>
      </c>
      <c r="G35" s="1">
        <v>0.38916351999999999</v>
      </c>
      <c r="I35" s="1">
        <v>1.0833333700000001</v>
      </c>
      <c r="J35" s="1">
        <v>0.55189281999999995</v>
      </c>
      <c r="L35">
        <f t="shared" si="1"/>
        <v>0.5267427907333333</v>
      </c>
      <c r="M35">
        <f t="shared" si="2"/>
        <v>2.5696671279562475E-2</v>
      </c>
      <c r="O35" s="1"/>
      <c r="U35" s="1"/>
      <c r="AG35" s="1">
        <v>1.0833333700000001</v>
      </c>
      <c r="AH35" s="1">
        <v>0.91860472999999998</v>
      </c>
      <c r="AI35">
        <f>AH44-$AH$3</f>
        <v>0.39376354000000002</v>
      </c>
      <c r="AK35" s="1">
        <v>1.0833333700000001</v>
      </c>
      <c r="AL35" s="1">
        <v>0.25092821999999998</v>
      </c>
      <c r="AN35">
        <f t="shared" si="3"/>
        <v>0.32234587999999997</v>
      </c>
      <c r="AO35">
        <f t="shared" si="4"/>
        <v>0.10099982336495066</v>
      </c>
      <c r="AQ35" s="8">
        <v>1.0833333700000001</v>
      </c>
      <c r="AR35" s="8">
        <v>0.91860472999999998</v>
      </c>
      <c r="AS35">
        <f t="shared" si="5"/>
        <v>0.31836074000000003</v>
      </c>
      <c r="AU35" s="1">
        <v>0.54166669000000001</v>
      </c>
      <c r="AV35" s="1">
        <v>0.76309477999999997</v>
      </c>
      <c r="AW35">
        <f t="shared" si="6"/>
        <v>0.53960063999999996</v>
      </c>
      <c r="AX35" s="1">
        <v>0.54166669000000001</v>
      </c>
      <c r="AY35" s="1">
        <v>0.63483155000000002</v>
      </c>
    </row>
    <row r="36" spans="1:51" x14ac:dyDescent="0.2">
      <c r="A36">
        <v>1.1166666750000001</v>
      </c>
      <c r="B36">
        <v>0.55812489990000003</v>
      </c>
      <c r="C36" s="1">
        <v>1.11666668</v>
      </c>
      <c r="E36">
        <f>G36+$H$34</f>
        <v>0.73351049000000001</v>
      </c>
      <c r="F36">
        <f t="shared" si="0"/>
        <v>0.50984174999999998</v>
      </c>
      <c r="G36" s="1">
        <v>0.39847295999999999</v>
      </c>
      <c r="I36" s="1">
        <v>1.11666668</v>
      </c>
      <c r="J36" s="1">
        <v>0.57540077000000001</v>
      </c>
      <c r="L36">
        <f t="shared" si="1"/>
        <v>0.54778913996666667</v>
      </c>
      <c r="M36">
        <f t="shared" si="2"/>
        <v>3.3979659001963584E-2</v>
      </c>
      <c r="O36" s="1"/>
      <c r="U36" s="1"/>
      <c r="AG36" s="1">
        <v>1.11666668</v>
      </c>
      <c r="AH36" s="1">
        <v>0.96348893999999996</v>
      </c>
      <c r="AI36">
        <f>AH45-$AH$3</f>
        <v>0.43079893999999996</v>
      </c>
      <c r="AK36" s="1">
        <v>1.11666668</v>
      </c>
      <c r="AL36" s="1">
        <v>0.27460989000000002</v>
      </c>
      <c r="AN36">
        <f t="shared" si="3"/>
        <v>0.35270441499999999</v>
      </c>
      <c r="AO36">
        <f t="shared" si="4"/>
        <v>0.11044233640208463</v>
      </c>
      <c r="AQ36" s="8">
        <v>1.11666668</v>
      </c>
      <c r="AR36" s="8">
        <v>0.96348893999999996</v>
      </c>
      <c r="AS36">
        <f t="shared" si="5"/>
        <v>0.36324495000000001</v>
      </c>
      <c r="AU36" s="1">
        <v>0.55833334000000001</v>
      </c>
      <c r="AV36" s="1">
        <v>0.77223878999999995</v>
      </c>
      <c r="AW36">
        <f t="shared" si="6"/>
        <v>0.54874464999999994</v>
      </c>
      <c r="AX36" s="1">
        <v>0.55833334000000001</v>
      </c>
      <c r="AY36" s="1">
        <v>0.64867532000000006</v>
      </c>
    </row>
    <row r="37" spans="1:51" x14ac:dyDescent="0.2">
      <c r="A37">
        <v>1.1499999759999999</v>
      </c>
      <c r="B37">
        <v>0.56242775919999999</v>
      </c>
      <c r="C37" s="1">
        <v>1.14999998</v>
      </c>
      <c r="E37">
        <f>G37+$H$34</f>
        <v>0.74896999999999991</v>
      </c>
      <c r="F37">
        <f t="shared" si="0"/>
        <v>0.52530125999999988</v>
      </c>
      <c r="G37" s="1">
        <v>0.41393247</v>
      </c>
      <c r="I37" s="1">
        <v>1.14999998</v>
      </c>
      <c r="J37" s="1">
        <v>0.58259320000000003</v>
      </c>
      <c r="L37">
        <f t="shared" si="1"/>
        <v>0.5567740730666666</v>
      </c>
      <c r="M37">
        <f t="shared" si="2"/>
        <v>2.9061395740941087E-2</v>
      </c>
      <c r="O37" s="1"/>
      <c r="U37" s="1"/>
      <c r="AG37" s="1">
        <v>1.14999998</v>
      </c>
      <c r="AH37" s="1">
        <v>0.94698656000000003</v>
      </c>
      <c r="AI37">
        <f>AH46-$AH$3</f>
        <v>0.40146595000000007</v>
      </c>
      <c r="AK37" s="1">
        <v>1.14999998</v>
      </c>
      <c r="AL37" s="1">
        <v>0.28294697000000002</v>
      </c>
      <c r="AN37">
        <f t="shared" si="3"/>
        <v>0.34220646000000005</v>
      </c>
      <c r="AO37">
        <f t="shared" si="4"/>
        <v>8.3805574457312834E-2</v>
      </c>
      <c r="AQ37" s="8">
        <v>1.14999998</v>
      </c>
      <c r="AR37" s="8">
        <v>0.94698656000000003</v>
      </c>
      <c r="AS37">
        <f t="shared" si="5"/>
        <v>0.34674257000000008</v>
      </c>
      <c r="AU37" s="1">
        <v>0.57499999000000002</v>
      </c>
      <c r="AV37" s="1">
        <v>0.81236850999999999</v>
      </c>
      <c r="AW37">
        <f t="shared" si="6"/>
        <v>0.58887436999999998</v>
      </c>
      <c r="AX37" s="1">
        <v>0.57499999000000002</v>
      </c>
      <c r="AY37" s="1">
        <v>0.66875373999999999</v>
      </c>
    </row>
    <row r="38" spans="1:51" x14ac:dyDescent="0.2">
      <c r="A38">
        <v>1.1833332780000001</v>
      </c>
      <c r="B38">
        <v>0.57294440270000002</v>
      </c>
      <c r="C38" s="1">
        <v>1.18333328</v>
      </c>
      <c r="E38">
        <f>G38+$H$34</f>
        <v>0.76068293999999992</v>
      </c>
      <c r="F38">
        <f t="shared" si="0"/>
        <v>0.53701419999999989</v>
      </c>
      <c r="G38" s="1">
        <v>0.42564541</v>
      </c>
      <c r="I38" s="1">
        <v>1.18333328</v>
      </c>
      <c r="J38" s="1">
        <v>0.59029299000000002</v>
      </c>
      <c r="L38">
        <f t="shared" si="1"/>
        <v>0.56675053089999994</v>
      </c>
      <c r="M38">
        <f t="shared" si="2"/>
        <v>2.7174075915698686E-2</v>
      </c>
      <c r="O38" s="1"/>
      <c r="U38" s="1"/>
      <c r="AG38" s="1">
        <v>1.18333328</v>
      </c>
      <c r="AH38" s="1">
        <v>0.99718273000000002</v>
      </c>
      <c r="AI38">
        <f>AH47-$AH$3</f>
        <v>0.38077706</v>
      </c>
      <c r="AK38" s="1">
        <v>1.18333328</v>
      </c>
      <c r="AL38" s="1">
        <v>0.29803726000000003</v>
      </c>
      <c r="AN38">
        <f t="shared" si="3"/>
        <v>0.33940716000000004</v>
      </c>
      <c r="AO38">
        <f t="shared" si="4"/>
        <v>5.8505873654018492E-2</v>
      </c>
      <c r="AQ38" s="8">
        <v>1.18333328</v>
      </c>
      <c r="AR38" s="8">
        <v>0.99718273000000002</v>
      </c>
      <c r="AS38">
        <f t="shared" si="5"/>
        <v>0.39693874000000007</v>
      </c>
      <c r="AU38" s="1">
        <v>0.59166664000000002</v>
      </c>
      <c r="AV38" s="1">
        <v>0.84522587000000005</v>
      </c>
      <c r="AW38">
        <f t="shared" si="6"/>
        <v>0.62173173000000004</v>
      </c>
      <c r="AX38" s="1">
        <v>0.59166664000000002</v>
      </c>
      <c r="AY38" s="1">
        <v>0.67864447999999999</v>
      </c>
    </row>
    <row r="39" spans="1:51" x14ac:dyDescent="0.2">
      <c r="A39">
        <v>1.216666698</v>
      </c>
      <c r="B39">
        <v>0.59103477000000004</v>
      </c>
      <c r="C39" s="1">
        <v>1.2166667</v>
      </c>
      <c r="E39">
        <f>G39+$H$34</f>
        <v>0.77545520999999995</v>
      </c>
      <c r="F39">
        <f t="shared" si="0"/>
        <v>0.55178646999999992</v>
      </c>
      <c r="G39" s="1">
        <v>0.44041767999999998</v>
      </c>
      <c r="I39" s="1">
        <v>1.2166667</v>
      </c>
      <c r="J39" s="1">
        <v>0.60112869999999996</v>
      </c>
      <c r="L39">
        <f t="shared" si="1"/>
        <v>0.5813166466666666</v>
      </c>
      <c r="M39">
        <f t="shared" si="2"/>
        <v>2.6067131721473222E-2</v>
      </c>
      <c r="O39" s="1"/>
      <c r="U39" s="1"/>
      <c r="AG39" s="1">
        <v>1.2166667</v>
      </c>
      <c r="AH39" s="1">
        <v>0.95195459999999998</v>
      </c>
      <c r="AI39">
        <f>AH48-$AH$3</f>
        <v>0.40953880000000009</v>
      </c>
      <c r="AK39" s="1">
        <v>1.2166667</v>
      </c>
      <c r="AL39" s="1">
        <v>0.33174914</v>
      </c>
      <c r="AN39">
        <f t="shared" si="3"/>
        <v>0.37064397000000004</v>
      </c>
      <c r="AO39">
        <f t="shared" si="4"/>
        <v>5.5005596092196012E-2</v>
      </c>
      <c r="AQ39" s="8">
        <v>1.2166667</v>
      </c>
      <c r="AR39" s="8">
        <v>0.95195459999999998</v>
      </c>
      <c r="AS39">
        <f t="shared" si="5"/>
        <v>0.35171061000000003</v>
      </c>
      <c r="AU39" s="1">
        <v>0.60833334999999999</v>
      </c>
      <c r="AV39" s="1">
        <v>0.85806227000000002</v>
      </c>
      <c r="AW39">
        <f t="shared" si="6"/>
        <v>0.63456813000000001</v>
      </c>
      <c r="AX39" s="1">
        <v>0.60833334999999999</v>
      </c>
      <c r="AY39" s="1">
        <v>0.69820302999999995</v>
      </c>
    </row>
    <row r="40" spans="1:51" x14ac:dyDescent="0.2">
      <c r="A40">
        <v>1.25</v>
      </c>
      <c r="B40">
        <v>0.60112255810000004</v>
      </c>
      <c r="C40" s="1">
        <v>1.25</v>
      </c>
      <c r="E40">
        <f>G40+$H$34</f>
        <v>0.79081035</v>
      </c>
      <c r="F40">
        <f t="shared" si="0"/>
        <v>0.56714160999999996</v>
      </c>
      <c r="G40" s="1">
        <v>0.45577282000000002</v>
      </c>
      <c r="I40" s="1">
        <v>1.25</v>
      </c>
      <c r="J40" s="1">
        <v>0.61725669999999999</v>
      </c>
      <c r="L40">
        <f t="shared" si="1"/>
        <v>0.59517362269999996</v>
      </c>
      <c r="M40">
        <f t="shared" si="2"/>
        <v>2.5581691416363694E-2</v>
      </c>
      <c r="O40" s="1"/>
      <c r="U40" s="1"/>
      <c r="AG40" s="1">
        <v>1.25</v>
      </c>
      <c r="AH40" s="1">
        <v>0.97029924000000001</v>
      </c>
      <c r="AI40">
        <f>AH49-$AH$3</f>
        <v>0.43576222000000009</v>
      </c>
      <c r="AK40" s="1">
        <v>1.25</v>
      </c>
      <c r="AL40" s="1">
        <v>0.30730154999999998</v>
      </c>
      <c r="AN40">
        <f t="shared" si="3"/>
        <v>0.37153188500000001</v>
      </c>
      <c r="AO40">
        <f t="shared" si="4"/>
        <v>9.0835410872767863E-2</v>
      </c>
      <c r="AQ40" s="8">
        <v>1.25</v>
      </c>
      <c r="AR40" s="8">
        <v>0.97029924000000001</v>
      </c>
      <c r="AU40" s="1">
        <v>0.625</v>
      </c>
      <c r="AV40" s="1">
        <v>0.83913671999999995</v>
      </c>
      <c r="AX40" s="1">
        <v>0.625</v>
      </c>
      <c r="AY40" s="1">
        <v>0.70420103999999994</v>
      </c>
    </row>
    <row r="41" spans="1:51" x14ac:dyDescent="0.2">
      <c r="A41">
        <v>1.283333302</v>
      </c>
      <c r="B41">
        <v>0.61432856319999996</v>
      </c>
      <c r="C41" s="1">
        <v>1.2833333</v>
      </c>
      <c r="E41">
        <f>G41+$H$34</f>
        <v>0.79958390999999995</v>
      </c>
      <c r="F41">
        <f t="shared" si="0"/>
        <v>0.57591516999999992</v>
      </c>
      <c r="G41" s="1">
        <v>0.46454637999999998</v>
      </c>
      <c r="I41" s="1">
        <v>1.2833333</v>
      </c>
      <c r="J41" s="1">
        <v>0.63792073999999999</v>
      </c>
      <c r="L41">
        <f t="shared" si="1"/>
        <v>0.60938815773333332</v>
      </c>
      <c r="M41">
        <f t="shared" si="2"/>
        <v>3.1296619344388134E-2</v>
      </c>
      <c r="O41" s="1"/>
      <c r="U41" s="1"/>
      <c r="AG41" s="1">
        <v>1.2833333</v>
      </c>
      <c r="AH41" s="1">
        <v>0.98250603999999997</v>
      </c>
      <c r="AI41">
        <f>AH50-$AH$3</f>
        <v>0.38652890000000006</v>
      </c>
      <c r="AK41" s="1">
        <v>1.2833333</v>
      </c>
      <c r="AL41" s="1">
        <v>0.32862529000000001</v>
      </c>
      <c r="AN41">
        <f t="shared" si="3"/>
        <v>0.35757709500000001</v>
      </c>
      <c r="AO41">
        <f t="shared" si="4"/>
        <v>4.0944035286181221E-2</v>
      </c>
      <c r="AQ41" s="8">
        <v>1.2833333</v>
      </c>
      <c r="AR41" s="8">
        <v>0.98250603999999997</v>
      </c>
      <c r="AU41" s="1">
        <v>0.64166665000000001</v>
      </c>
      <c r="AV41" s="1">
        <v>0.87604641999999999</v>
      </c>
      <c r="AX41" s="1">
        <v>0.64166665000000001</v>
      </c>
      <c r="AY41" s="1">
        <v>0.73741108</v>
      </c>
    </row>
    <row r="42" spans="1:51" x14ac:dyDescent="0.2">
      <c r="A42">
        <v>1.316666603</v>
      </c>
      <c r="B42">
        <v>0.61320453880000003</v>
      </c>
      <c r="C42" s="1">
        <v>1.3166666</v>
      </c>
      <c r="E42">
        <f>G42+$H$34</f>
        <v>0.81260361999999997</v>
      </c>
      <c r="F42">
        <f t="shared" si="0"/>
        <v>0.58893487999999994</v>
      </c>
      <c r="G42" s="1">
        <v>0.47756609</v>
      </c>
      <c r="I42" s="1">
        <v>1.3166666</v>
      </c>
      <c r="J42" s="1">
        <v>0.65052140000000003</v>
      </c>
      <c r="L42">
        <f t="shared" si="1"/>
        <v>0.61755360626666667</v>
      </c>
      <c r="M42">
        <f t="shared" si="2"/>
        <v>3.1022744112986143E-2</v>
      </c>
      <c r="O42" s="1"/>
      <c r="U42" s="1"/>
      <c r="AG42" s="1">
        <v>1.3166666</v>
      </c>
      <c r="AH42" s="1">
        <v>1.00943637</v>
      </c>
      <c r="AI42">
        <f>AH51-$AH$3</f>
        <v>0.40529638000000012</v>
      </c>
      <c r="AK42" s="1">
        <v>1.3166666</v>
      </c>
      <c r="AL42" s="1">
        <v>0.31281104999999998</v>
      </c>
      <c r="AN42">
        <f t="shared" si="3"/>
        <v>0.35905371500000005</v>
      </c>
      <c r="AO42">
        <f t="shared" si="4"/>
        <v>6.5397004003275791E-2</v>
      </c>
      <c r="AQ42" s="8">
        <v>1.3166666</v>
      </c>
      <c r="AR42" s="8">
        <v>1.00943637</v>
      </c>
      <c r="AU42" s="1">
        <v>0.65833330000000001</v>
      </c>
      <c r="AV42" s="1">
        <v>0.87163984999999999</v>
      </c>
      <c r="AX42" s="1">
        <v>0.65833330000000001</v>
      </c>
      <c r="AY42" s="1">
        <v>0.74171626999999996</v>
      </c>
    </row>
    <row r="43" spans="1:51" x14ac:dyDescent="0.2">
      <c r="A43">
        <v>1.3500000240000001</v>
      </c>
      <c r="B43">
        <v>0.64691692590000005</v>
      </c>
      <c r="C43" s="1">
        <v>1.35000002</v>
      </c>
      <c r="E43">
        <f>G43+$H$34</f>
        <v>0.81559428999999994</v>
      </c>
      <c r="F43">
        <f t="shared" si="0"/>
        <v>0.59192554999999991</v>
      </c>
      <c r="G43" s="1">
        <v>0.48055676000000003</v>
      </c>
      <c r="I43" s="1">
        <v>1.35000002</v>
      </c>
      <c r="J43" s="1">
        <v>0.66098230999999996</v>
      </c>
      <c r="L43">
        <f t="shared" si="1"/>
        <v>0.63327492863333334</v>
      </c>
      <c r="M43">
        <f t="shared" si="2"/>
        <v>3.6493658250334522E-2</v>
      </c>
      <c r="O43" s="1"/>
      <c r="U43" s="1"/>
      <c r="AG43" s="1">
        <v>1.35000002</v>
      </c>
      <c r="AH43" s="1">
        <v>1.00724602</v>
      </c>
      <c r="AI43">
        <f>AH52-$AH$3</f>
        <v>0.42727619000000006</v>
      </c>
      <c r="AK43" s="1">
        <v>1.35000002</v>
      </c>
      <c r="AL43" s="1">
        <v>0.31287094999999998</v>
      </c>
      <c r="AN43">
        <f t="shared" si="3"/>
        <v>0.37007357000000002</v>
      </c>
      <c r="AO43">
        <f t="shared" si="4"/>
        <v>8.0896721007274436E-2</v>
      </c>
      <c r="AQ43" s="8">
        <v>1.35000002</v>
      </c>
      <c r="AR43" s="8">
        <v>1.00724602</v>
      </c>
      <c r="AU43" s="1">
        <v>0.67500000999999998</v>
      </c>
      <c r="AV43" s="1">
        <v>0.86165689999999995</v>
      </c>
      <c r="AX43" s="1">
        <v>0.67500000999999998</v>
      </c>
      <c r="AY43" s="1">
        <v>0.76269149999999997</v>
      </c>
    </row>
    <row r="44" spans="1:51" x14ac:dyDescent="0.2">
      <c r="A44">
        <v>1.3833333249999999</v>
      </c>
      <c r="B44">
        <v>0.66071951390000005</v>
      </c>
      <c r="C44" s="1">
        <v>1.3833333299999999</v>
      </c>
      <c r="E44">
        <f>G44+$H$34</f>
        <v>0.83021047999999997</v>
      </c>
      <c r="F44">
        <f t="shared" si="0"/>
        <v>0.60654173999999994</v>
      </c>
      <c r="G44" s="1">
        <v>0.49517295</v>
      </c>
      <c r="I44" s="1">
        <v>1.3833333299999999</v>
      </c>
      <c r="J44" s="1">
        <v>0.67024874999999995</v>
      </c>
      <c r="L44">
        <f t="shared" si="1"/>
        <v>0.64583666796666661</v>
      </c>
      <c r="M44">
        <f t="shared" si="2"/>
        <v>3.436233560297567E-2</v>
      </c>
      <c r="O44" s="1"/>
      <c r="U44" s="1"/>
      <c r="AG44" s="1">
        <v>1.3833333299999999</v>
      </c>
      <c r="AH44" s="1">
        <v>0.99400752999999997</v>
      </c>
      <c r="AI44">
        <f>AH53-$AH$3</f>
        <v>0.41962080999999996</v>
      </c>
      <c r="AK44" s="1">
        <v>1.3833333299999999</v>
      </c>
      <c r="AL44" s="1">
        <v>0.31892955000000001</v>
      </c>
      <c r="AN44">
        <f t="shared" si="3"/>
        <v>0.36927517999999998</v>
      </c>
      <c r="AO44">
        <f t="shared" si="4"/>
        <v>7.1199472752217982E-2</v>
      </c>
      <c r="AQ44" s="8">
        <v>1.3833333299999999</v>
      </c>
      <c r="AR44" s="8">
        <v>0.99400752999999997</v>
      </c>
      <c r="AU44" s="1">
        <v>0.69166665999999999</v>
      </c>
      <c r="AV44" s="1">
        <v>0.90371131999999998</v>
      </c>
      <c r="AX44" s="1">
        <v>0.69166665999999999</v>
      </c>
      <c r="AY44" s="1">
        <v>0.77895175999999999</v>
      </c>
    </row>
    <row r="45" spans="1:51" x14ac:dyDescent="0.2">
      <c r="A45">
        <v>1.4166666269999999</v>
      </c>
      <c r="B45">
        <v>0.65748834609999995</v>
      </c>
      <c r="C45" s="1">
        <v>1.4166666299999999</v>
      </c>
      <c r="E45">
        <f>G45+$H$34</f>
        <v>0.8442130699999999</v>
      </c>
      <c r="F45">
        <f t="shared" si="0"/>
        <v>0.62054432999999987</v>
      </c>
      <c r="G45" s="1">
        <v>0.50917553999999998</v>
      </c>
      <c r="I45" s="1">
        <v>1.4166666299999999</v>
      </c>
      <c r="J45" s="1">
        <v>0.68973839000000003</v>
      </c>
      <c r="L45">
        <f t="shared" si="1"/>
        <v>0.65592368869999995</v>
      </c>
      <c r="M45">
        <f t="shared" si="2"/>
        <v>3.4623555556953373E-2</v>
      </c>
      <c r="O45" s="1"/>
      <c r="U45" s="1"/>
      <c r="AG45" s="1">
        <v>1.4166666299999999</v>
      </c>
      <c r="AH45" s="1">
        <v>1.0310429299999999</v>
      </c>
      <c r="AI45">
        <f>AH54-$AH$3</f>
        <v>0.40739172000000001</v>
      </c>
      <c r="AK45" s="1">
        <v>1.4166666299999999</v>
      </c>
      <c r="AL45" s="1">
        <v>0.32827568000000001</v>
      </c>
      <c r="AN45">
        <f t="shared" si="3"/>
        <v>0.36783370000000004</v>
      </c>
      <c r="AO45">
        <f t="shared" si="4"/>
        <v>5.5943488384626087E-2</v>
      </c>
      <c r="AQ45" s="8">
        <v>1.4166666299999999</v>
      </c>
      <c r="AR45" s="8">
        <v>1.0310429299999999</v>
      </c>
      <c r="AU45" s="1">
        <v>0.70833330999999999</v>
      </c>
      <c r="AV45" s="1">
        <v>0.88742213999999997</v>
      </c>
      <c r="AX45" s="1">
        <v>0.70833330999999999</v>
      </c>
      <c r="AY45" s="1">
        <v>0.78410840000000004</v>
      </c>
    </row>
    <row r="46" spans="1:51" x14ac:dyDescent="0.2">
      <c r="A46">
        <v>1.449999928</v>
      </c>
      <c r="B46">
        <v>0.67031300069999999</v>
      </c>
      <c r="C46" s="1">
        <v>1.4499999299999999</v>
      </c>
      <c r="E46">
        <f>G46+$H$34</f>
        <v>0.85342157000000007</v>
      </c>
      <c r="F46">
        <f t="shared" si="0"/>
        <v>0.62975283000000004</v>
      </c>
      <c r="G46" s="1">
        <v>0.51838404000000005</v>
      </c>
      <c r="I46" s="1">
        <v>1.4499999299999999</v>
      </c>
      <c r="J46" s="1">
        <v>0.69903736999999999</v>
      </c>
      <c r="L46">
        <f t="shared" si="1"/>
        <v>0.66636773356666668</v>
      </c>
      <c r="M46">
        <f t="shared" si="2"/>
        <v>3.4810353636783385E-2</v>
      </c>
      <c r="O46" s="1"/>
      <c r="U46" s="1"/>
      <c r="AG46" s="1">
        <v>1.4499999299999999</v>
      </c>
      <c r="AH46" s="1">
        <v>1.00170994</v>
      </c>
      <c r="AI46">
        <f>AH55-$AH$3</f>
        <v>0.4205376500000001</v>
      </c>
      <c r="AK46" s="1">
        <v>1.4499999299999999</v>
      </c>
      <c r="AL46" s="1">
        <v>0.36057573999999998</v>
      </c>
      <c r="AN46">
        <f t="shared" si="3"/>
        <v>0.39055669500000001</v>
      </c>
      <c r="AO46">
        <f t="shared" si="4"/>
        <v>4.2399473173897542E-2</v>
      </c>
      <c r="AQ46" s="8">
        <v>1.4499999299999999</v>
      </c>
      <c r="AR46" s="8">
        <v>1.00170994</v>
      </c>
      <c r="AU46" s="1">
        <v>0.72499996</v>
      </c>
      <c r="AV46" s="1">
        <v>0.93491095000000002</v>
      </c>
      <c r="AX46" s="1">
        <v>0.72499996</v>
      </c>
      <c r="AY46" s="1">
        <v>0.81734448999999998</v>
      </c>
    </row>
    <row r="47" spans="1:51" x14ac:dyDescent="0.2">
      <c r="A47">
        <v>1.483333349</v>
      </c>
      <c r="B47">
        <v>0.68932282919999999</v>
      </c>
      <c r="C47" s="1">
        <v>1.4833333500000001</v>
      </c>
      <c r="E47">
        <f>G47+$H$34</f>
        <v>0.87806559000000006</v>
      </c>
      <c r="F47">
        <f t="shared" si="0"/>
        <v>0.65439685000000003</v>
      </c>
      <c r="G47" s="1">
        <v>0.54302806000000003</v>
      </c>
      <c r="I47" s="1">
        <v>1.4833333500000001</v>
      </c>
      <c r="J47" s="1">
        <v>0.70812481999999999</v>
      </c>
      <c r="L47">
        <f t="shared" si="1"/>
        <v>0.6839481664</v>
      </c>
      <c r="M47">
        <f t="shared" si="2"/>
        <v>2.7264242887718369E-2</v>
      </c>
      <c r="O47" s="1"/>
      <c r="U47" s="1"/>
      <c r="AG47" s="1">
        <v>1.4833333500000001</v>
      </c>
      <c r="AH47" s="1">
        <v>0.98102104999999995</v>
      </c>
      <c r="AI47">
        <f>AH56-$AH$3</f>
        <v>0.42254048</v>
      </c>
      <c r="AK47" s="1">
        <v>1.4833333500000001</v>
      </c>
      <c r="AL47" s="1">
        <v>0.29406416000000002</v>
      </c>
      <c r="AN47">
        <f t="shared" si="3"/>
        <v>0.35830232000000001</v>
      </c>
      <c r="AO47">
        <f t="shared" si="4"/>
        <v>9.084647709389318E-2</v>
      </c>
      <c r="AQ47" s="8">
        <v>1.4833333500000001</v>
      </c>
      <c r="AR47" s="8">
        <v>0.98102104999999995</v>
      </c>
      <c r="AU47" s="1">
        <v>0.74166666999999997</v>
      </c>
      <c r="AV47" s="1">
        <v>0.94836222999999997</v>
      </c>
      <c r="AX47" s="1">
        <v>0.74166666999999997</v>
      </c>
      <c r="AY47" s="1">
        <v>0.83542417999999996</v>
      </c>
    </row>
    <row r="48" spans="1:51" x14ac:dyDescent="0.2">
      <c r="A48">
        <v>1.516666651</v>
      </c>
      <c r="B48">
        <v>0.70247000459999998</v>
      </c>
      <c r="C48" s="1">
        <v>1.5166666499999999</v>
      </c>
      <c r="E48">
        <f>G48+$H$34</f>
        <v>0.88918721999999994</v>
      </c>
      <c r="F48">
        <f t="shared" si="0"/>
        <v>0.66551847999999991</v>
      </c>
      <c r="G48" s="1">
        <v>0.55414969000000003</v>
      </c>
      <c r="I48" s="1">
        <v>1.5166666499999999</v>
      </c>
      <c r="J48" s="1">
        <v>0.72479134999999995</v>
      </c>
      <c r="L48">
        <f t="shared" si="1"/>
        <v>0.69759327819999994</v>
      </c>
      <c r="M48">
        <f t="shared" si="2"/>
        <v>2.9935850159876352E-2</v>
      </c>
      <c r="O48" s="1"/>
      <c r="U48" s="1"/>
      <c r="AG48" s="1">
        <v>1.5166666499999999</v>
      </c>
      <c r="AH48" s="1">
        <v>1.00978279</v>
      </c>
      <c r="AI48">
        <f>AH57-$AH$3</f>
        <v>0.44282204000000014</v>
      </c>
      <c r="AK48" s="1">
        <v>1.5166666499999999</v>
      </c>
      <c r="AL48" s="1">
        <v>0.28773220999999999</v>
      </c>
      <c r="AN48">
        <f t="shared" si="3"/>
        <v>0.36527712500000009</v>
      </c>
      <c r="AO48">
        <f t="shared" si="4"/>
        <v>0.1096650704860689</v>
      </c>
      <c r="AQ48" s="8">
        <v>1.5166666499999999</v>
      </c>
      <c r="AR48" s="8">
        <v>1.00978279</v>
      </c>
      <c r="AU48" s="1">
        <v>0.75833333000000003</v>
      </c>
      <c r="AV48" s="1">
        <v>0.97534734000000001</v>
      </c>
      <c r="AX48" s="1">
        <v>0.75833333000000003</v>
      </c>
      <c r="AY48" s="1">
        <v>0.83552687999999997</v>
      </c>
    </row>
    <row r="49" spans="1:51" x14ac:dyDescent="0.2">
      <c r="A49">
        <v>1.5499999520000001</v>
      </c>
      <c r="B49">
        <v>0.72950673099999996</v>
      </c>
      <c r="C49" s="1">
        <v>1.5499999499999999</v>
      </c>
      <c r="E49">
        <f>G49+$H$34</f>
        <v>0.90344851999999998</v>
      </c>
      <c r="F49">
        <f t="shared" si="0"/>
        <v>0.67977977999999994</v>
      </c>
      <c r="G49" s="1">
        <v>0.56841098999999995</v>
      </c>
      <c r="I49" s="1">
        <v>1.5499999499999999</v>
      </c>
      <c r="J49" s="1">
        <v>0.74206346000000001</v>
      </c>
      <c r="L49">
        <f t="shared" si="1"/>
        <v>0.71711665700000005</v>
      </c>
      <c r="M49">
        <f t="shared" si="2"/>
        <v>3.2938573874406109E-2</v>
      </c>
      <c r="O49" s="1"/>
      <c r="U49" s="1"/>
      <c r="AG49" s="1">
        <v>1.5499999499999999</v>
      </c>
      <c r="AH49" s="1">
        <v>1.03600621</v>
      </c>
      <c r="AI49">
        <f>AH58-$AH$3</f>
        <v>0.43706732999999998</v>
      </c>
      <c r="AK49" s="1">
        <v>1.5499999499999999</v>
      </c>
      <c r="AL49" s="1">
        <v>0.32224360000000002</v>
      </c>
      <c r="AN49">
        <f t="shared" si="3"/>
        <v>0.37965546500000003</v>
      </c>
      <c r="AO49">
        <f t="shared" si="4"/>
        <v>8.1192638124132896E-2</v>
      </c>
      <c r="AQ49" s="8">
        <v>1.5499999499999999</v>
      </c>
      <c r="AR49" s="8">
        <v>1.03600621</v>
      </c>
      <c r="AU49" s="1">
        <v>0.77499998000000003</v>
      </c>
      <c r="AV49" s="1">
        <v>0.96880478000000003</v>
      </c>
      <c r="AX49" s="1">
        <v>0.77499998000000003</v>
      </c>
      <c r="AY49" s="1">
        <v>0.87202966000000004</v>
      </c>
    </row>
    <row r="50" spans="1:51" x14ac:dyDescent="0.2">
      <c r="A50">
        <v>1.5833333730000001</v>
      </c>
      <c r="B50">
        <v>0.73679536580000005</v>
      </c>
      <c r="C50" s="1">
        <v>1.5833333700000001</v>
      </c>
      <c r="E50">
        <f>G50+$H$34</f>
        <v>0.91479182000000003</v>
      </c>
      <c r="F50">
        <f t="shared" si="0"/>
        <v>0.69112308</v>
      </c>
      <c r="G50" s="1">
        <v>0.57975429000000001</v>
      </c>
      <c r="I50" s="1">
        <v>1.5833333700000001</v>
      </c>
      <c r="J50" s="1">
        <v>0.75618350999999995</v>
      </c>
      <c r="L50">
        <f t="shared" si="1"/>
        <v>0.72803398526666674</v>
      </c>
      <c r="M50">
        <f t="shared" si="2"/>
        <v>3.3403386498731355E-2</v>
      </c>
      <c r="O50" s="1"/>
      <c r="U50" s="1"/>
      <c r="AG50" s="1">
        <v>1.5833333700000001</v>
      </c>
      <c r="AH50" s="1">
        <v>0.98677289000000001</v>
      </c>
      <c r="AI50">
        <f>AH59-$AH$3</f>
        <v>0.41605418999999999</v>
      </c>
      <c r="AK50" s="1">
        <v>1.5833333700000001</v>
      </c>
      <c r="AL50" s="1">
        <v>0.31980994000000001</v>
      </c>
      <c r="AN50">
        <f t="shared" si="3"/>
        <v>0.36793206499999997</v>
      </c>
      <c r="AO50">
        <f t="shared" si="4"/>
        <v>6.8054961825214033E-2</v>
      </c>
      <c r="AQ50" s="8">
        <v>1.5833333700000001</v>
      </c>
      <c r="AR50" s="8">
        <v>0.98677289000000001</v>
      </c>
      <c r="AU50" s="1">
        <v>0.79166669000000001</v>
      </c>
      <c r="AV50" s="1">
        <v>0.96400147999999997</v>
      </c>
      <c r="AX50" s="1">
        <v>0.79166669000000001</v>
      </c>
      <c r="AY50" s="1">
        <v>0.87636179000000003</v>
      </c>
    </row>
    <row r="51" spans="1:51" x14ac:dyDescent="0.2">
      <c r="A51">
        <v>1.6166666750000001</v>
      </c>
      <c r="B51">
        <v>0.75731194020000003</v>
      </c>
      <c r="C51" s="1">
        <v>1.61666668</v>
      </c>
      <c r="E51">
        <f>G51+$H$34</f>
        <v>0.92790145000000002</v>
      </c>
      <c r="F51">
        <f t="shared" si="0"/>
        <v>0.70423270999999998</v>
      </c>
      <c r="G51" s="1">
        <v>0.59286391999999999</v>
      </c>
      <c r="I51" s="1">
        <v>1.61666668</v>
      </c>
      <c r="J51" s="1">
        <v>0.78598248999999998</v>
      </c>
      <c r="L51">
        <f t="shared" si="1"/>
        <v>0.7491757134</v>
      </c>
      <c r="M51">
        <f t="shared" si="2"/>
        <v>4.1477768411739308E-2</v>
      </c>
      <c r="O51" s="1"/>
      <c r="U51" s="1"/>
      <c r="AG51" s="1">
        <v>1.61666668</v>
      </c>
      <c r="AH51" s="1">
        <v>1.0055403700000001</v>
      </c>
      <c r="AI51">
        <f>AH60-$AH$3</f>
        <v>0.42609101000000005</v>
      </c>
      <c r="AK51" s="1">
        <v>1.61666668</v>
      </c>
      <c r="AL51" s="1">
        <v>0.26364827000000002</v>
      </c>
      <c r="AN51">
        <f t="shared" si="3"/>
        <v>0.34486964000000003</v>
      </c>
      <c r="AO51">
        <f t="shared" si="4"/>
        <v>0.11486436300852326</v>
      </c>
      <c r="AQ51" s="8">
        <v>1.61666668</v>
      </c>
      <c r="AR51" s="8">
        <v>1.0055403700000001</v>
      </c>
      <c r="AU51" s="1">
        <v>0.80833334000000001</v>
      </c>
      <c r="AV51" s="1">
        <v>0.95081930999999997</v>
      </c>
      <c r="AX51" s="1">
        <v>0.80833334000000001</v>
      </c>
      <c r="AY51" s="1">
        <v>0.89012413999999995</v>
      </c>
    </row>
    <row r="52" spans="1:51" x14ac:dyDescent="0.2">
      <c r="A52">
        <v>1.6499999759999999</v>
      </c>
      <c r="B52">
        <v>0.76499319079999994</v>
      </c>
      <c r="C52" s="1">
        <v>1.64999998</v>
      </c>
      <c r="E52">
        <f>G52+$H$34</f>
        <v>0.94259596000000001</v>
      </c>
      <c r="F52">
        <f t="shared" si="0"/>
        <v>0.71892721999999998</v>
      </c>
      <c r="G52" s="1">
        <v>0.60755842999999998</v>
      </c>
      <c r="I52" s="1">
        <v>1.64999998</v>
      </c>
      <c r="J52" s="1">
        <v>0.78734952000000002</v>
      </c>
      <c r="L52">
        <f t="shared" si="1"/>
        <v>0.75708997693333335</v>
      </c>
      <c r="M52">
        <f t="shared" si="2"/>
        <v>3.4889086780671194E-2</v>
      </c>
      <c r="O52" s="1"/>
      <c r="U52" s="1"/>
      <c r="AG52" s="1">
        <v>1.64999998</v>
      </c>
      <c r="AH52" s="1">
        <v>1.02752018</v>
      </c>
      <c r="AK52" s="1"/>
      <c r="AL52" s="1"/>
      <c r="AQ52" s="8">
        <v>1.64999998</v>
      </c>
      <c r="AR52" s="8">
        <v>1.02752018</v>
      </c>
      <c r="AU52" s="1">
        <v>0.82499999000000002</v>
      </c>
      <c r="AV52" s="1">
        <v>0.97732061000000003</v>
      </c>
      <c r="AX52" s="1">
        <v>0.82499999000000002</v>
      </c>
      <c r="AY52" s="1">
        <v>0.92159628999999998</v>
      </c>
    </row>
    <row r="53" spans="1:51" x14ac:dyDescent="0.2">
      <c r="A53">
        <v>1.6833332780000001</v>
      </c>
      <c r="B53">
        <v>0.77120357750000001</v>
      </c>
      <c r="C53" s="1">
        <v>1.68333328</v>
      </c>
      <c r="E53">
        <f>G53+$H$34</f>
        <v>0.95181917999999999</v>
      </c>
      <c r="F53">
        <f t="shared" si="0"/>
        <v>0.72815043999999995</v>
      </c>
      <c r="G53" s="1">
        <v>0.61678164999999996</v>
      </c>
      <c r="I53" s="1">
        <v>1.68333328</v>
      </c>
      <c r="J53" s="1">
        <v>0.78944110999999995</v>
      </c>
      <c r="L53">
        <f t="shared" si="1"/>
        <v>0.76293170916666664</v>
      </c>
      <c r="M53">
        <f t="shared" si="2"/>
        <v>3.1471485690307464E-2</v>
      </c>
      <c r="O53" s="1"/>
      <c r="U53" s="1"/>
      <c r="AG53" s="1">
        <v>1.68333328</v>
      </c>
      <c r="AH53" s="1">
        <v>1.0198647999999999</v>
      </c>
      <c r="AK53" s="1"/>
      <c r="AL53" s="1"/>
      <c r="AQ53" s="8">
        <v>1.68333328</v>
      </c>
      <c r="AR53" s="8">
        <v>1.0198647999999999</v>
      </c>
      <c r="AU53" s="1">
        <v>0.84166664000000002</v>
      </c>
      <c r="AV53" s="1">
        <v>0.98958999000000003</v>
      </c>
      <c r="AX53" s="1">
        <v>0.84166664000000002</v>
      </c>
      <c r="AY53" s="1">
        <v>0.92054307000000002</v>
      </c>
    </row>
    <row r="54" spans="1:51" x14ac:dyDescent="0.2">
      <c r="A54">
        <v>1.716666698</v>
      </c>
      <c r="B54">
        <v>0.78217446800000001</v>
      </c>
      <c r="C54" s="1">
        <v>1.7166667</v>
      </c>
      <c r="E54">
        <f>G54+$H$34</f>
        <v>0.96394891000000005</v>
      </c>
      <c r="F54">
        <f t="shared" si="0"/>
        <v>0.74028017000000002</v>
      </c>
      <c r="G54" s="1">
        <v>0.62891138000000002</v>
      </c>
      <c r="I54" s="1">
        <v>1.7166667</v>
      </c>
      <c r="J54" s="1">
        <v>0.79451740000000004</v>
      </c>
      <c r="L54">
        <f t="shared" si="1"/>
        <v>0.77232401266666673</v>
      </c>
      <c r="M54">
        <f t="shared" si="2"/>
        <v>2.842873339112599E-2</v>
      </c>
      <c r="O54" s="1"/>
      <c r="U54" s="1"/>
      <c r="AG54" s="1">
        <v>1.7166667</v>
      </c>
      <c r="AH54" s="1">
        <v>1.00763571</v>
      </c>
      <c r="AK54" s="1"/>
      <c r="AL54" s="1"/>
      <c r="AQ54" s="8">
        <v>1.7166667</v>
      </c>
      <c r="AR54" s="8">
        <v>1.00763571</v>
      </c>
      <c r="AU54" s="1">
        <v>0.85833334999999999</v>
      </c>
      <c r="AV54" s="1">
        <v>1.02025867</v>
      </c>
      <c r="AX54" s="1">
        <v>0.85833334999999999</v>
      </c>
      <c r="AY54" s="1">
        <v>0.93989140000000004</v>
      </c>
    </row>
    <row r="55" spans="1:51" x14ac:dyDescent="0.2">
      <c r="A55">
        <v>1.75</v>
      </c>
      <c r="B55">
        <v>0.79258859159999995</v>
      </c>
      <c r="C55" s="1">
        <v>1.75</v>
      </c>
      <c r="E55">
        <f>G55+$H$34</f>
        <v>0.98517244999999987</v>
      </c>
      <c r="F55">
        <f t="shared" si="0"/>
        <v>0.76150370999999983</v>
      </c>
      <c r="G55" s="1">
        <v>0.65013491999999995</v>
      </c>
      <c r="I55" s="1">
        <v>1.75</v>
      </c>
      <c r="J55" s="1">
        <v>0.82597739000000003</v>
      </c>
      <c r="L55">
        <f t="shared" si="1"/>
        <v>0.79335656386666675</v>
      </c>
      <c r="M55">
        <f t="shared" si="2"/>
        <v>3.2243699992981316E-2</v>
      </c>
      <c r="O55" s="1"/>
      <c r="U55" s="1"/>
      <c r="AG55" s="1">
        <v>1.75</v>
      </c>
      <c r="AH55" s="1">
        <v>1.02078164</v>
      </c>
      <c r="AK55" s="1"/>
      <c r="AL55" s="1"/>
      <c r="AQ55" s="8">
        <v>1.75</v>
      </c>
      <c r="AR55" s="8">
        <v>1.02078164</v>
      </c>
      <c r="AU55" s="1">
        <v>0.875</v>
      </c>
      <c r="AV55" s="1">
        <v>1.0073483000000001</v>
      </c>
      <c r="AX55" s="1">
        <v>0.875</v>
      </c>
      <c r="AY55" s="1">
        <v>0.94900828999999998</v>
      </c>
    </row>
    <row r="56" spans="1:51" x14ac:dyDescent="0.2">
      <c r="A56">
        <v>1.783333302</v>
      </c>
      <c r="B56">
        <v>0.81820654869999998</v>
      </c>
      <c r="C56" s="1">
        <v>1.7833333</v>
      </c>
      <c r="E56">
        <f>G56+$H$34</f>
        <v>0.98170072000000008</v>
      </c>
      <c r="F56">
        <f t="shared" si="0"/>
        <v>0.75803198000000005</v>
      </c>
      <c r="G56" s="1">
        <v>0.64666319000000005</v>
      </c>
      <c r="I56" s="1">
        <v>1.7833333</v>
      </c>
      <c r="J56" s="1">
        <v>0.81409019000000005</v>
      </c>
      <c r="L56">
        <f t="shared" si="1"/>
        <v>0.79677623956666677</v>
      </c>
      <c r="M56">
        <f t="shared" si="2"/>
        <v>3.3616578339618328E-2</v>
      </c>
      <c r="O56" s="1"/>
      <c r="U56" s="1"/>
      <c r="AG56" s="1">
        <v>1.7833333</v>
      </c>
      <c r="AH56" s="1">
        <v>1.0227844699999999</v>
      </c>
      <c r="AK56" s="1"/>
      <c r="AL56" s="1"/>
      <c r="AQ56" s="8">
        <v>1.7833333</v>
      </c>
      <c r="AR56" s="8">
        <v>1.0227844699999999</v>
      </c>
      <c r="AU56" s="1">
        <v>0.89166665000000001</v>
      </c>
      <c r="AV56" s="1">
        <v>1.02910495</v>
      </c>
      <c r="AX56" s="1">
        <v>0.89166665000000001</v>
      </c>
      <c r="AY56" s="1">
        <v>0.96445369999999997</v>
      </c>
    </row>
    <row r="57" spans="1:51" x14ac:dyDescent="0.2">
      <c r="A57">
        <v>1.816666603</v>
      </c>
      <c r="B57">
        <v>0.81589877609999995</v>
      </c>
      <c r="C57" s="1">
        <v>1.8166666</v>
      </c>
      <c r="E57">
        <f>G57+$H$34</f>
        <v>0.99285834999999989</v>
      </c>
      <c r="F57">
        <f t="shared" si="0"/>
        <v>0.76918960999999986</v>
      </c>
      <c r="G57" s="1">
        <v>0.65782081999999997</v>
      </c>
      <c r="I57" s="1">
        <v>1.8166666</v>
      </c>
      <c r="J57" s="1">
        <v>0.83865529000000005</v>
      </c>
      <c r="L57">
        <f t="shared" si="1"/>
        <v>0.80791455869999995</v>
      </c>
      <c r="M57">
        <f t="shared" si="2"/>
        <v>3.5414417545449675E-2</v>
      </c>
      <c r="O57" s="1"/>
      <c r="U57" s="1"/>
      <c r="AG57" s="1">
        <v>1.8166666</v>
      </c>
      <c r="AH57" s="1">
        <v>1.0430660300000001</v>
      </c>
      <c r="AK57" s="1"/>
      <c r="AL57" s="1"/>
      <c r="AQ57" s="8">
        <v>1.8166666</v>
      </c>
      <c r="AR57" s="8">
        <v>1.0430660300000001</v>
      </c>
      <c r="AU57" s="1">
        <v>0.90833330000000001</v>
      </c>
      <c r="AV57" s="1">
        <v>1.0238630799999999</v>
      </c>
      <c r="AX57" s="1">
        <v>0.90833330000000001</v>
      </c>
      <c r="AY57" s="1">
        <v>1.0058479300000001</v>
      </c>
    </row>
    <row r="58" spans="1:51" x14ac:dyDescent="0.2">
      <c r="A58">
        <v>1.8500000240000001</v>
      </c>
      <c r="B58">
        <v>0.81682485339999999</v>
      </c>
      <c r="C58" s="1">
        <v>1.85000002</v>
      </c>
      <c r="E58">
        <f>G58+$H$34</f>
        <v>1.0058288</v>
      </c>
      <c r="F58">
        <f t="shared" si="0"/>
        <v>0.78216005999999993</v>
      </c>
      <c r="G58" s="1">
        <v>0.67079127000000005</v>
      </c>
      <c r="I58" s="1">
        <v>1.85000002</v>
      </c>
      <c r="J58" s="1">
        <v>0.83155566000000003</v>
      </c>
      <c r="L58">
        <f t="shared" si="1"/>
        <v>0.81018019113333339</v>
      </c>
      <c r="M58">
        <f t="shared" si="2"/>
        <v>2.5359317366966925E-2</v>
      </c>
      <c r="O58" s="1"/>
      <c r="U58" s="1"/>
      <c r="AG58" s="1">
        <v>1.85000002</v>
      </c>
      <c r="AH58" s="1">
        <v>1.0373113199999999</v>
      </c>
      <c r="AK58" s="1"/>
      <c r="AL58" s="1"/>
      <c r="AQ58" s="8">
        <v>1.85000002</v>
      </c>
      <c r="AR58" s="8">
        <v>1.0373113199999999</v>
      </c>
      <c r="AU58" s="1">
        <v>0.92500000999999998</v>
      </c>
      <c r="AV58" s="1">
        <v>1.0484372399999999</v>
      </c>
      <c r="AX58" s="1">
        <v>0.92500000999999998</v>
      </c>
      <c r="AY58" s="1">
        <v>0.98643457999999995</v>
      </c>
    </row>
    <row r="59" spans="1:51" x14ac:dyDescent="0.2">
      <c r="A59">
        <v>1.8833333249999999</v>
      </c>
      <c r="B59">
        <v>0.84084260460000004</v>
      </c>
      <c r="C59" s="1">
        <v>1.8833333299999999</v>
      </c>
      <c r="E59">
        <f>G59+$H$34</f>
        <v>1.0193477899999999</v>
      </c>
      <c r="F59">
        <f t="shared" si="0"/>
        <v>0.79567904999999983</v>
      </c>
      <c r="G59" s="1">
        <v>0.68431025999999995</v>
      </c>
      <c r="I59" s="1">
        <v>1.8833333299999999</v>
      </c>
      <c r="J59" s="1">
        <v>0.86904174000000001</v>
      </c>
      <c r="L59">
        <f t="shared" si="1"/>
        <v>0.83518779819999989</v>
      </c>
      <c r="M59">
        <f t="shared" si="2"/>
        <v>3.7006806098002339E-2</v>
      </c>
      <c r="O59" s="1"/>
      <c r="U59" s="1"/>
      <c r="AG59" s="1">
        <v>1.8833333299999999</v>
      </c>
      <c r="AH59" s="1">
        <v>1.0162981799999999</v>
      </c>
      <c r="AK59" s="1"/>
      <c r="AL59" s="1"/>
      <c r="AQ59" s="8">
        <v>1.8833333299999999</v>
      </c>
      <c r="AR59" s="8">
        <v>1.0162981799999999</v>
      </c>
      <c r="AU59" s="1">
        <v>0.94166665999999999</v>
      </c>
      <c r="AV59" s="1">
        <v>1.03624165</v>
      </c>
      <c r="AX59" s="1">
        <v>0.94166665999999999</v>
      </c>
      <c r="AY59" s="1">
        <v>0.99781847000000001</v>
      </c>
    </row>
    <row r="60" spans="1:51" x14ac:dyDescent="0.2">
      <c r="A60">
        <v>1.9166666269999999</v>
      </c>
      <c r="B60">
        <v>0.87795114519999995</v>
      </c>
      <c r="C60" s="1">
        <v>1.9166666299999999</v>
      </c>
      <c r="E60">
        <f>G60+$H$34</f>
        <v>1.02910638</v>
      </c>
      <c r="F60">
        <f t="shared" si="0"/>
        <v>0.80543763999999995</v>
      </c>
      <c r="G60" s="1">
        <v>0.69406884999999996</v>
      </c>
      <c r="I60" s="1">
        <v>1.9166666299999999</v>
      </c>
      <c r="J60" s="1">
        <v>0.85338926000000004</v>
      </c>
      <c r="L60">
        <f t="shared" si="1"/>
        <v>0.84559268173333335</v>
      </c>
      <c r="M60">
        <f t="shared" si="2"/>
        <v>3.6880104170118631E-2</v>
      </c>
      <c r="O60" s="1"/>
      <c r="U60" s="1"/>
      <c r="AG60" s="1">
        <v>1.9166666299999999</v>
      </c>
      <c r="AH60" s="1">
        <v>1.026335</v>
      </c>
      <c r="AK60" s="1"/>
      <c r="AL60" s="1"/>
      <c r="AQ60" s="8">
        <v>1.9166666299999999</v>
      </c>
      <c r="AR60" s="8">
        <v>1.026335</v>
      </c>
      <c r="AU60" s="1">
        <v>0.95833330999999999</v>
      </c>
      <c r="AV60" s="1">
        <v>1.0504336400000001</v>
      </c>
      <c r="AX60" s="1">
        <v>0.95833330999999999</v>
      </c>
      <c r="AY60" s="1">
        <v>1.0296562899999999</v>
      </c>
    </row>
    <row r="61" spans="1:51" x14ac:dyDescent="0.2">
      <c r="A61">
        <v>1.949999928</v>
      </c>
      <c r="B61">
        <v>0.87462455029999997</v>
      </c>
      <c r="C61" s="1">
        <v>1.9499999299999999</v>
      </c>
      <c r="E61">
        <f>G61+$H$34</f>
        <v>1.0498100500000001</v>
      </c>
      <c r="F61">
        <f t="shared" si="0"/>
        <v>0.82614131000000002</v>
      </c>
      <c r="G61" s="1">
        <v>0.71477252000000002</v>
      </c>
      <c r="I61" s="1">
        <v>1.9499999299999999</v>
      </c>
      <c r="J61" s="1">
        <v>0.77291483000000005</v>
      </c>
      <c r="L61">
        <f t="shared" si="1"/>
        <v>0.82456023010000001</v>
      </c>
      <c r="M61">
        <f t="shared" si="2"/>
        <v>5.0873290252486048E-2</v>
      </c>
      <c r="O61" s="1"/>
      <c r="U61" s="1"/>
      <c r="AG61" s="1"/>
      <c r="AH61" s="1"/>
      <c r="AK61" s="1"/>
      <c r="AL61" s="1"/>
      <c r="AQ61" s="8">
        <v>1.9499999299999999</v>
      </c>
      <c r="AR61" s="8">
        <v>1.0549222199999999</v>
      </c>
      <c r="AU61" s="1">
        <v>0.97499996</v>
      </c>
      <c r="AV61" s="1">
        <v>1.06146443</v>
      </c>
      <c r="AX61" s="1">
        <v>0.97499996</v>
      </c>
      <c r="AY61" s="1">
        <v>1.0498388999999999</v>
      </c>
    </row>
    <row r="62" spans="1:51" x14ac:dyDescent="0.2">
      <c r="A62">
        <v>1.983333349</v>
      </c>
      <c r="B62">
        <v>0.88648062940000005</v>
      </c>
      <c r="C62" s="1">
        <v>1.9833333500000001</v>
      </c>
      <c r="E62">
        <f>G62+$H$34</f>
        <v>1.0522387600000001</v>
      </c>
      <c r="F62">
        <f t="shared" si="0"/>
        <v>0.82857002000000002</v>
      </c>
      <c r="G62" s="1">
        <v>0.71720123000000002</v>
      </c>
      <c r="I62" s="1">
        <v>1.9833333500000001</v>
      </c>
      <c r="J62" s="1">
        <v>0.77591955999999995</v>
      </c>
      <c r="L62">
        <f t="shared" si="1"/>
        <v>0.83032340313333342</v>
      </c>
      <c r="M62">
        <f t="shared" si="2"/>
        <v>5.530138588703816E-2</v>
      </c>
      <c r="O62" s="1"/>
      <c r="U62" s="1"/>
      <c r="AG62" s="1"/>
      <c r="AH62" s="1"/>
      <c r="AK62" s="1"/>
      <c r="AL62" s="1"/>
      <c r="AQ62" s="8">
        <v>1.9833333500000001</v>
      </c>
      <c r="AR62" s="8">
        <v>1.00273156</v>
      </c>
      <c r="AU62" s="1">
        <v>0.99166666999999997</v>
      </c>
      <c r="AV62" s="1">
        <v>1.08903551</v>
      </c>
      <c r="AX62" s="1">
        <v>0.99166666999999997</v>
      </c>
      <c r="AY62" s="1">
        <v>1.0504627200000001</v>
      </c>
    </row>
    <row r="63" spans="1:51" x14ac:dyDescent="0.2">
      <c r="A63">
        <v>2.016666651</v>
      </c>
      <c r="B63">
        <v>0.90879106519999997</v>
      </c>
      <c r="C63" s="1">
        <v>2.0166666499999999</v>
      </c>
      <c r="E63">
        <f>G63+$H$34</f>
        <v>1.0772910099999999</v>
      </c>
      <c r="F63">
        <f t="shared" si="0"/>
        <v>0.85362226999999991</v>
      </c>
      <c r="G63" s="1">
        <v>0.74225348000000002</v>
      </c>
      <c r="I63" s="1">
        <v>2.0166666499999999</v>
      </c>
      <c r="J63" s="1"/>
      <c r="L63">
        <f t="shared" si="1"/>
        <v>0.88120666759999988</v>
      </c>
      <c r="M63">
        <f t="shared" si="2"/>
        <v>3.9010229195811902E-2</v>
      </c>
      <c r="O63" s="1"/>
      <c r="U63" s="1"/>
      <c r="AG63" s="1"/>
      <c r="AH63" s="1"/>
      <c r="AK63" s="1"/>
      <c r="AL63" s="1"/>
      <c r="AQ63" s="8">
        <v>2.0166666499999999</v>
      </c>
      <c r="AR63" s="8">
        <v>1.0260652299999999</v>
      </c>
      <c r="AU63" s="1">
        <v>1.0083333299999999</v>
      </c>
      <c r="AV63" s="1">
        <v>1.11363721</v>
      </c>
      <c r="AX63" s="1">
        <v>1.0083333299999999</v>
      </c>
      <c r="AY63" s="1">
        <v>1.03590977</v>
      </c>
    </row>
    <row r="64" spans="1:51" x14ac:dyDescent="0.2">
      <c r="A64">
        <v>2.0499999519999998</v>
      </c>
      <c r="B64">
        <v>0.8975796103</v>
      </c>
      <c r="C64" s="1">
        <v>2.0499999500000001</v>
      </c>
      <c r="E64">
        <f>G64+$H$34</f>
        <v>1.0766944899999999</v>
      </c>
      <c r="F64">
        <f t="shared" si="0"/>
        <v>0.85302574999999992</v>
      </c>
      <c r="G64" s="1">
        <v>0.74165696000000003</v>
      </c>
      <c r="I64" s="1">
        <v>2.0499999500000001</v>
      </c>
      <c r="J64" s="1"/>
      <c r="L64">
        <f t="shared" si="1"/>
        <v>0.8753026801499999</v>
      </c>
      <c r="M64">
        <f t="shared" si="2"/>
        <v>3.1504336746168163E-2</v>
      </c>
      <c r="O64" s="1"/>
      <c r="U64" s="1"/>
      <c r="AG64" s="1"/>
      <c r="AH64" s="1"/>
      <c r="AK64" s="1"/>
      <c r="AL64" s="1"/>
      <c r="AQ64" s="8">
        <v>2.0499999500000001</v>
      </c>
      <c r="AR64" s="8">
        <v>1.05259788</v>
      </c>
      <c r="AU64" s="1">
        <v>1.02499998</v>
      </c>
      <c r="AV64" s="1">
        <v>1.0781625500000001</v>
      </c>
      <c r="AX64" s="1">
        <v>1.02499998</v>
      </c>
      <c r="AY64" s="1">
        <v>1.0474476800000001</v>
      </c>
    </row>
    <row r="65" spans="1:51" x14ac:dyDescent="0.2">
      <c r="A65">
        <v>2.0833332539999998</v>
      </c>
      <c r="B65">
        <v>0.916174233</v>
      </c>
      <c r="C65" s="1">
        <v>2.0833332499999999</v>
      </c>
      <c r="E65">
        <f>G65+$H$34</f>
        <v>1.09154749</v>
      </c>
      <c r="F65">
        <f t="shared" si="0"/>
        <v>0.86787874999999992</v>
      </c>
      <c r="G65" s="1">
        <v>0.75650996000000004</v>
      </c>
      <c r="I65" s="1">
        <v>2.0833332499999999</v>
      </c>
      <c r="J65" s="1"/>
      <c r="L65">
        <f t="shared" si="1"/>
        <v>0.89202649150000002</v>
      </c>
      <c r="M65">
        <f t="shared" si="2"/>
        <v>3.4150063529979686E-2</v>
      </c>
      <c r="O65" s="1"/>
      <c r="U65" s="1"/>
      <c r="AG65" s="1"/>
      <c r="AH65" s="1"/>
      <c r="AK65" s="1"/>
      <c r="AL65" s="1"/>
      <c r="AQ65" s="8">
        <v>2.0833332499999999</v>
      </c>
      <c r="AR65" s="8">
        <v>1.07484198</v>
      </c>
      <c r="AU65" s="1">
        <v>1.0416666299999999</v>
      </c>
      <c r="AV65" s="1">
        <v>1.09209406</v>
      </c>
      <c r="AX65" s="1">
        <v>1.0416666299999999</v>
      </c>
      <c r="AY65" s="1">
        <v>1.06834316</v>
      </c>
    </row>
    <row r="66" spans="1:51" x14ac:dyDescent="0.2">
      <c r="A66">
        <v>2.1166665550000001</v>
      </c>
      <c r="B66">
        <v>0.92473649979999994</v>
      </c>
      <c r="C66" s="1">
        <v>2.1166665600000001</v>
      </c>
      <c r="E66">
        <f>G66+$H$34</f>
        <v>1.1064549699999999</v>
      </c>
      <c r="F66">
        <f t="shared" si="0"/>
        <v>0.88278622999999989</v>
      </c>
      <c r="G66" s="1">
        <v>0.77141744000000001</v>
      </c>
      <c r="I66" s="1">
        <v>2.1166665600000001</v>
      </c>
      <c r="J66" s="1"/>
      <c r="L66">
        <f t="shared" si="1"/>
        <v>0.90376136489999992</v>
      </c>
      <c r="M66">
        <f t="shared" si="2"/>
        <v>2.9663320248185267E-2</v>
      </c>
      <c r="O66" s="1"/>
      <c r="U66" s="1"/>
      <c r="AG66" s="1"/>
      <c r="AH66" s="1"/>
      <c r="AK66" s="1"/>
      <c r="AL66" s="1"/>
      <c r="AQ66" s="8"/>
      <c r="AR66" s="8"/>
      <c r="AU66" s="1">
        <v>1.05833328</v>
      </c>
      <c r="AV66" s="1">
        <v>1.1053841099999999</v>
      </c>
      <c r="AX66" s="1">
        <v>1.05833328</v>
      </c>
      <c r="AY66" s="1">
        <v>1.05192554</v>
      </c>
    </row>
    <row r="67" spans="1:51" x14ac:dyDescent="0.2">
      <c r="A67">
        <v>2.1500000950000002</v>
      </c>
      <c r="B67">
        <v>0.97523236270000002</v>
      </c>
      <c r="C67" s="1">
        <v>2.1500001000000002</v>
      </c>
      <c r="E67">
        <f>G67+$H$34</f>
        <v>1.12183923</v>
      </c>
      <c r="F67">
        <f t="shared" si="0"/>
        <v>0.89817048999999993</v>
      </c>
      <c r="G67" s="1">
        <v>0.78680170000000005</v>
      </c>
      <c r="I67" s="1">
        <v>2.1500001000000002</v>
      </c>
      <c r="J67" s="1"/>
      <c r="L67">
        <f t="shared" si="1"/>
        <v>0.93670142634999998</v>
      </c>
      <c r="M67">
        <f t="shared" si="2"/>
        <v>5.4490972757104544E-2</v>
      </c>
      <c r="O67" s="1"/>
      <c r="U67" s="1"/>
      <c r="AG67" s="1"/>
      <c r="AH67" s="1"/>
      <c r="AK67" s="1"/>
      <c r="AL67" s="1"/>
      <c r="AQ67" s="8" t="s">
        <v>32</v>
      </c>
      <c r="AR67" s="8"/>
      <c r="AU67" s="1">
        <v>1.0750000500000001</v>
      </c>
      <c r="AV67" s="1">
        <v>1.08376753</v>
      </c>
      <c r="AX67" s="1">
        <v>1.0750000500000001</v>
      </c>
      <c r="AY67" s="1">
        <v>1.0783174</v>
      </c>
    </row>
    <row r="68" spans="1:51" x14ac:dyDescent="0.2">
      <c r="A68">
        <v>2.1833333970000002</v>
      </c>
      <c r="B68">
        <v>0.96802335979999998</v>
      </c>
      <c r="C68" s="1">
        <v>2.1833334</v>
      </c>
      <c r="E68">
        <f>G68+$H$34</f>
        <v>1.1206780700000001</v>
      </c>
      <c r="F68">
        <f t="shared" ref="F68:F92" si="11">E68-$E$3</f>
        <v>0.89700933000000005</v>
      </c>
      <c r="G68" s="1">
        <v>0.78564054000000005</v>
      </c>
      <c r="I68" s="1">
        <v>2.1833334</v>
      </c>
      <c r="J68" s="1"/>
      <c r="L68">
        <f t="shared" ref="L68:L92" si="12">AVERAGE(B68,F68,J68)</f>
        <v>0.93251634490000002</v>
      </c>
      <c r="M68">
        <f t="shared" ref="M68:M92" si="13">STDEV(B68,F68,J68)</f>
        <v>5.0214502030963518E-2</v>
      </c>
      <c r="O68" s="1"/>
      <c r="U68" s="1"/>
      <c r="AG68" s="1"/>
      <c r="AH68" s="1"/>
      <c r="AK68" s="1"/>
      <c r="AL68" s="1"/>
      <c r="AQ68" s="8" t="s">
        <v>32</v>
      </c>
      <c r="AR68" s="8"/>
      <c r="AU68" s="1">
        <v>1.0916667</v>
      </c>
      <c r="AV68" s="1">
        <v>1.17399681</v>
      </c>
      <c r="AX68" s="1">
        <v>1.0916667</v>
      </c>
      <c r="AY68" s="1">
        <v>1.06512904</v>
      </c>
    </row>
    <row r="69" spans="1:51" x14ac:dyDescent="0.2">
      <c r="A69">
        <v>2.216666698</v>
      </c>
      <c r="B69">
        <v>0.96337682010000003</v>
      </c>
      <c r="C69" s="1">
        <v>2.2166667000000002</v>
      </c>
      <c r="E69">
        <f>G69+$H$34</f>
        <v>1.1482120199999999</v>
      </c>
      <c r="F69">
        <f t="shared" si="11"/>
        <v>0.92454327999999986</v>
      </c>
      <c r="G69" s="1">
        <v>0.81317448999999997</v>
      </c>
      <c r="I69" s="1">
        <v>2.2166667000000002</v>
      </c>
      <c r="J69" s="1"/>
      <c r="L69">
        <f t="shared" si="12"/>
        <v>0.94396005004999994</v>
      </c>
      <c r="M69">
        <f t="shared" si="13"/>
        <v>2.7459459542189844E-2</v>
      </c>
      <c r="O69" s="1"/>
      <c r="U69" s="1"/>
      <c r="AG69" s="1"/>
      <c r="AK69" s="1"/>
      <c r="AL69" s="1"/>
      <c r="AQ69" s="8" t="s">
        <v>72</v>
      </c>
      <c r="AR69" s="8"/>
      <c r="AU69" s="1">
        <v>1.1083333500000001</v>
      </c>
      <c r="AV69" s="1">
        <v>1.1229347000000001</v>
      </c>
      <c r="AX69" s="1">
        <v>1.1083333500000001</v>
      </c>
      <c r="AY69" s="1">
        <v>1.06672561</v>
      </c>
    </row>
    <row r="70" spans="1:51" x14ac:dyDescent="0.2">
      <c r="A70">
        <v>2.25</v>
      </c>
      <c r="B70">
        <v>0.94615316390000004</v>
      </c>
      <c r="C70" s="1">
        <v>2.25</v>
      </c>
      <c r="E70">
        <f>G70+$H$34</f>
        <v>1.1508881499999999</v>
      </c>
      <c r="F70">
        <f t="shared" si="11"/>
        <v>0.92721940999999986</v>
      </c>
      <c r="G70" s="1">
        <v>0.81585061999999997</v>
      </c>
      <c r="I70" s="1">
        <v>2.25</v>
      </c>
      <c r="J70" s="1"/>
      <c r="L70">
        <f t="shared" si="12"/>
        <v>0.93668628694999989</v>
      </c>
      <c r="M70">
        <f t="shared" si="13"/>
        <v>1.338818577600737E-2</v>
      </c>
      <c r="O70" s="1"/>
      <c r="U70" s="1"/>
      <c r="AG70" s="1"/>
      <c r="AK70" s="1"/>
      <c r="AL70" s="1"/>
      <c r="AQ70" s="8" t="s">
        <v>30</v>
      </c>
      <c r="AR70" s="8"/>
      <c r="AU70" s="1">
        <v>1.125</v>
      </c>
      <c r="AV70" s="1">
        <v>1.1354374899999999</v>
      </c>
      <c r="AX70" s="1">
        <v>1.125</v>
      </c>
      <c r="AY70" s="1">
        <v>1.0982765000000001</v>
      </c>
    </row>
    <row r="71" spans="1:51" x14ac:dyDescent="0.2">
      <c r="A71">
        <v>2.283333302</v>
      </c>
      <c r="B71">
        <v>1.0072280170000001</v>
      </c>
      <c r="C71" s="1">
        <v>2.2833332999999998</v>
      </c>
      <c r="E71">
        <f>G71+$H$34</f>
        <v>1.15085203</v>
      </c>
      <c r="F71">
        <f t="shared" si="11"/>
        <v>0.92718328999999999</v>
      </c>
      <c r="G71" s="1">
        <v>0.8158145</v>
      </c>
      <c r="I71" s="1">
        <v>2.2833332999999998</v>
      </c>
      <c r="J71" s="1"/>
      <c r="L71">
        <f t="shared" si="12"/>
        <v>0.96720565349999998</v>
      </c>
      <c r="M71">
        <f t="shared" si="13"/>
        <v>5.6600169259926003E-2</v>
      </c>
      <c r="O71" s="1"/>
      <c r="U71" s="1"/>
      <c r="AG71" s="1"/>
      <c r="AK71" s="1"/>
      <c r="AL71" s="1"/>
      <c r="AQ71" s="8" t="s">
        <v>29</v>
      </c>
      <c r="AR71" s="8"/>
      <c r="AU71" s="1">
        <v>1.1416666499999999</v>
      </c>
      <c r="AV71" s="1">
        <v>1.1874558900000001</v>
      </c>
      <c r="AX71" s="1">
        <v>1.1416666499999999</v>
      </c>
      <c r="AY71" s="1">
        <v>1.0943071799999999</v>
      </c>
    </row>
    <row r="72" spans="1:51" x14ac:dyDescent="0.2">
      <c r="A72">
        <v>2.3166666029999998</v>
      </c>
      <c r="B72">
        <v>0.96270471810000002</v>
      </c>
      <c r="C72" s="1">
        <v>2.3166666</v>
      </c>
      <c r="E72">
        <f>G72+$H$34</f>
        <v>1.17022187</v>
      </c>
      <c r="F72">
        <f t="shared" si="11"/>
        <v>0.94655312999999996</v>
      </c>
      <c r="G72" s="1">
        <v>0.83518433999999997</v>
      </c>
      <c r="I72" s="1">
        <v>2.3166666</v>
      </c>
      <c r="J72" s="1"/>
      <c r="L72">
        <f t="shared" si="12"/>
        <v>0.95462892404999999</v>
      </c>
      <c r="M72">
        <f t="shared" si="13"/>
        <v>1.1420897472441986E-2</v>
      </c>
      <c r="O72" s="1"/>
      <c r="U72" s="1"/>
      <c r="AG72" s="1"/>
      <c r="AK72" s="1"/>
      <c r="AL72" s="1"/>
      <c r="AQ72" s="8" t="s">
        <v>28</v>
      </c>
      <c r="AR72" s="8"/>
      <c r="AU72" s="1">
        <v>1.1583333</v>
      </c>
      <c r="AV72" s="1">
        <v>1.11311531</v>
      </c>
      <c r="AX72" s="1">
        <v>1.1583333</v>
      </c>
      <c r="AY72" s="1">
        <v>1.14242423</v>
      </c>
    </row>
    <row r="73" spans="1:51" x14ac:dyDescent="0.2">
      <c r="A73">
        <v>2.3499999049999998</v>
      </c>
      <c r="B73">
        <v>0.9930174947</v>
      </c>
      <c r="C73" s="1">
        <v>2.3499999100000002</v>
      </c>
      <c r="E73">
        <f>G73+$H$34</f>
        <v>1.17001486</v>
      </c>
      <c r="F73">
        <f t="shared" si="11"/>
        <v>0.94634611999999996</v>
      </c>
      <c r="G73" s="1">
        <v>0.83497732999999996</v>
      </c>
      <c r="I73" s="1">
        <v>2.3499999100000002</v>
      </c>
      <c r="J73" s="1"/>
      <c r="L73">
        <f t="shared" si="12"/>
        <v>0.96968180734999998</v>
      </c>
      <c r="M73">
        <f t="shared" si="13"/>
        <v>3.3001645537668302E-2</v>
      </c>
      <c r="O73" s="1"/>
      <c r="U73" s="1"/>
      <c r="AG73" s="1"/>
      <c r="AK73" s="1"/>
      <c r="AL73" s="1"/>
      <c r="AQ73" s="8" t="s">
        <v>27</v>
      </c>
      <c r="AR73" s="8"/>
      <c r="AU73" s="1">
        <v>1.1749999499999999</v>
      </c>
      <c r="AV73" s="1">
        <v>1.11187971</v>
      </c>
      <c r="AX73" s="1">
        <v>1.1749999499999999</v>
      </c>
      <c r="AY73" s="1">
        <v>1.0965900399999999</v>
      </c>
    </row>
    <row r="74" spans="1:51" x14ac:dyDescent="0.2">
      <c r="A74">
        <v>2.3833332060000001</v>
      </c>
      <c r="B74">
        <v>1.018076062</v>
      </c>
      <c r="C74" s="1">
        <v>2.38333321</v>
      </c>
      <c r="E74">
        <f>G74+$H$34</f>
        <v>1.18193561</v>
      </c>
      <c r="F74">
        <f t="shared" si="11"/>
        <v>0.95826686999999999</v>
      </c>
      <c r="G74" s="1">
        <v>0.84689808</v>
      </c>
      <c r="I74" s="1">
        <v>2.38333321</v>
      </c>
      <c r="J74" s="1"/>
      <c r="L74">
        <f t="shared" si="12"/>
        <v>0.98817146600000005</v>
      </c>
      <c r="M74">
        <f t="shared" si="13"/>
        <v>4.2291485240488216E-2</v>
      </c>
      <c r="O74" s="1"/>
      <c r="U74" s="1"/>
      <c r="AG74" s="1"/>
      <c r="AK74" s="1"/>
      <c r="AL74" s="1"/>
      <c r="AQ74" s="8" t="s">
        <v>26</v>
      </c>
      <c r="AR74" s="8"/>
      <c r="AU74" s="1">
        <v>1.1916666</v>
      </c>
      <c r="AV74" s="1">
        <v>1.14431393</v>
      </c>
      <c r="AX74" s="1">
        <v>1.1916666</v>
      </c>
      <c r="AY74" s="1">
        <v>1.0959274800000001</v>
      </c>
    </row>
    <row r="75" spans="1:51" x14ac:dyDescent="0.2">
      <c r="A75">
        <v>2.4166667460000002</v>
      </c>
      <c r="B75">
        <v>1.00758934</v>
      </c>
      <c r="C75" s="1">
        <v>2.4166667500000001</v>
      </c>
      <c r="E75">
        <f>G75+$H$34</f>
        <v>1.19414026</v>
      </c>
      <c r="F75">
        <f t="shared" si="11"/>
        <v>0.97047151999999992</v>
      </c>
      <c r="G75" s="1">
        <v>0.85910273000000004</v>
      </c>
      <c r="I75" s="1">
        <v>2.4166667500000001</v>
      </c>
      <c r="J75" s="1"/>
      <c r="L75">
        <f t="shared" si="12"/>
        <v>0.9890304299999999</v>
      </c>
      <c r="M75">
        <f t="shared" si="13"/>
        <v>2.6246262224861715E-2</v>
      </c>
      <c r="O75" s="1"/>
      <c r="U75" s="1"/>
      <c r="AG75" s="1"/>
      <c r="AK75" s="1"/>
      <c r="AL75" s="1"/>
      <c r="AQ75" s="8" t="s">
        <v>25</v>
      </c>
      <c r="AR75" s="8"/>
      <c r="AU75" s="1">
        <v>1.2083333700000001</v>
      </c>
      <c r="AV75" s="1">
        <v>1.13464224</v>
      </c>
      <c r="AX75" s="1">
        <v>1.2083333700000001</v>
      </c>
      <c r="AY75" s="1">
        <v>1.13760006</v>
      </c>
    </row>
    <row r="76" spans="1:51" x14ac:dyDescent="0.2">
      <c r="A76">
        <v>2.4500000480000002</v>
      </c>
      <c r="B76">
        <v>1.0458822249999999</v>
      </c>
      <c r="C76" s="1">
        <v>2.4500000499999999</v>
      </c>
      <c r="E76">
        <f>G76+$H$34</f>
        <v>1.2193123100000001</v>
      </c>
      <c r="F76">
        <f t="shared" si="11"/>
        <v>0.99564357000000003</v>
      </c>
      <c r="G76" s="1">
        <v>0.88427478000000004</v>
      </c>
      <c r="I76" s="1">
        <v>2.4500000499999999</v>
      </c>
      <c r="J76" s="1"/>
      <c r="L76">
        <f t="shared" si="12"/>
        <v>1.0207628975</v>
      </c>
      <c r="M76">
        <f t="shared" si="13"/>
        <v>3.5524093628191387E-2</v>
      </c>
      <c r="O76" s="1"/>
      <c r="U76" s="1"/>
      <c r="AG76" s="1"/>
      <c r="AK76" s="1"/>
      <c r="AL76" s="1"/>
      <c r="AQ76" s="8" t="s">
        <v>24</v>
      </c>
      <c r="AR76" s="8"/>
      <c r="AU76" s="1">
        <v>1.22500002</v>
      </c>
      <c r="AV76" s="1">
        <v>1.1379745000000001</v>
      </c>
      <c r="AX76" s="1">
        <v>1.22500002</v>
      </c>
      <c r="AY76" s="1">
        <v>1.13656855</v>
      </c>
    </row>
    <row r="77" spans="1:51" x14ac:dyDescent="0.2">
      <c r="A77">
        <v>2.483333349</v>
      </c>
      <c r="B77">
        <v>1.039789796</v>
      </c>
      <c r="C77" s="1">
        <v>2.4833333500000001</v>
      </c>
      <c r="E77">
        <f>G77+$H$34</f>
        <v>1.2232748899999999</v>
      </c>
      <c r="F77">
        <f t="shared" si="11"/>
        <v>0.99960614999999986</v>
      </c>
      <c r="G77" s="1">
        <v>0.88823735999999998</v>
      </c>
      <c r="I77" s="1">
        <v>2.4833333500000001</v>
      </c>
      <c r="J77" s="1"/>
      <c r="L77">
        <f t="shared" si="12"/>
        <v>1.019697973</v>
      </c>
      <c r="M77">
        <f t="shared" si="13"/>
        <v>2.8414128579399775E-2</v>
      </c>
      <c r="O77" s="1"/>
      <c r="U77" s="1"/>
      <c r="AG77" s="1"/>
      <c r="AK77" s="1"/>
      <c r="AL77" s="1"/>
      <c r="AQ77" s="8" t="s">
        <v>23</v>
      </c>
      <c r="AR77" s="8"/>
      <c r="AU77" s="1">
        <v>1.24166668</v>
      </c>
      <c r="AV77" s="1">
        <v>1.17251003</v>
      </c>
      <c r="AX77" s="1">
        <v>1.24166668</v>
      </c>
      <c r="AY77" s="1">
        <v>1.16824079</v>
      </c>
    </row>
    <row r="78" spans="1:51" x14ac:dyDescent="0.2">
      <c r="A78">
        <v>2.516666651</v>
      </c>
      <c r="B78">
        <v>1.0448330640000001</v>
      </c>
      <c r="C78" s="1">
        <v>2.5166666499999999</v>
      </c>
      <c r="E78">
        <f>G78+$H$34</f>
        <v>1.2368819099999999</v>
      </c>
      <c r="F78">
        <f t="shared" si="11"/>
        <v>1.01321317</v>
      </c>
      <c r="G78" s="1">
        <v>0.90184438</v>
      </c>
      <c r="I78" s="1">
        <v>2.5166666499999999</v>
      </c>
      <c r="J78" s="1"/>
      <c r="L78">
        <f t="shared" si="12"/>
        <v>1.0290231169999999</v>
      </c>
      <c r="M78">
        <f t="shared" si="13"/>
        <v>2.2358641467799891E-2</v>
      </c>
      <c r="O78" s="1"/>
      <c r="U78" s="1"/>
      <c r="AG78" s="1"/>
      <c r="AK78" s="1"/>
      <c r="AL78" s="1"/>
      <c r="AQ78" s="8" t="s">
        <v>22</v>
      </c>
      <c r="AR78" s="8"/>
      <c r="AU78" s="1">
        <v>1.2583333299999999</v>
      </c>
      <c r="AV78" s="1">
        <v>1.1769776300000001</v>
      </c>
      <c r="AX78" s="1">
        <v>1.2583333299999999</v>
      </c>
      <c r="AY78" s="1">
        <v>1.15974939</v>
      </c>
    </row>
    <row r="79" spans="1:51" x14ac:dyDescent="0.2">
      <c r="A79">
        <v>2.5499999519999998</v>
      </c>
      <c r="B79">
        <v>1.065603971</v>
      </c>
      <c r="C79" s="1">
        <v>2.5499999500000001</v>
      </c>
      <c r="E79">
        <f>G79+$H$34</f>
        <v>1.26010573</v>
      </c>
      <c r="F79">
        <f t="shared" si="11"/>
        <v>1.0364369900000001</v>
      </c>
      <c r="G79" s="1">
        <v>0.92506820000000001</v>
      </c>
      <c r="I79" s="1">
        <v>2.5499999500000001</v>
      </c>
      <c r="J79" s="1"/>
      <c r="L79">
        <f t="shared" si="12"/>
        <v>1.0510204805000001</v>
      </c>
      <c r="M79">
        <f t="shared" si="13"/>
        <v>2.0624170051839134E-2</v>
      </c>
      <c r="O79" s="1"/>
      <c r="U79" s="1"/>
      <c r="AG79" s="1"/>
      <c r="AK79" s="1"/>
      <c r="AL79" s="1"/>
      <c r="AQ79" s="8" t="s">
        <v>21</v>
      </c>
      <c r="AR79" s="8"/>
      <c r="AU79" s="1">
        <v>1.27499998</v>
      </c>
      <c r="AV79" s="1">
        <v>1.1375082700000001</v>
      </c>
      <c r="AX79" s="1">
        <v>1.27499998</v>
      </c>
      <c r="AY79" s="1">
        <v>1.1128914400000001</v>
      </c>
    </row>
    <row r="80" spans="1:51" x14ac:dyDescent="0.2">
      <c r="A80">
        <v>2.5833332539999998</v>
      </c>
      <c r="B80">
        <v>1.0728387829999999</v>
      </c>
      <c r="C80" s="1">
        <v>2.5833332499999999</v>
      </c>
      <c r="E80">
        <f>G80+$H$34</f>
        <v>1.2604138899999999</v>
      </c>
      <c r="F80">
        <f t="shared" si="11"/>
        <v>1.03674515</v>
      </c>
      <c r="G80" s="1">
        <v>0.92537636000000001</v>
      </c>
      <c r="I80" s="1">
        <v>2.5833332499999999</v>
      </c>
      <c r="J80" s="1"/>
      <c r="L80">
        <f t="shared" si="12"/>
        <v>1.0547919664999998</v>
      </c>
      <c r="M80">
        <f t="shared" si="13"/>
        <v>2.5522052651958484E-2</v>
      </c>
      <c r="O80" s="1"/>
      <c r="U80" s="1"/>
      <c r="AG80" s="1"/>
      <c r="AK80" s="1"/>
      <c r="AL80" s="1"/>
      <c r="AQ80" s="8" t="s">
        <v>20</v>
      </c>
      <c r="AR80" s="8"/>
      <c r="AU80" s="1">
        <v>1.2916666299999999</v>
      </c>
      <c r="AV80" s="1">
        <v>1.1880130799999999</v>
      </c>
      <c r="AX80" s="1">
        <v>1.2916666299999999</v>
      </c>
      <c r="AY80" s="1">
        <v>1.13573444</v>
      </c>
    </row>
    <row r="81" spans="1:51" x14ac:dyDescent="0.2">
      <c r="A81">
        <v>2.6166665550000001</v>
      </c>
      <c r="B81">
        <v>1.0837571619999999</v>
      </c>
      <c r="C81" s="1">
        <v>2.6166665600000001</v>
      </c>
      <c r="E81">
        <f>G81+$H$34</f>
        <v>1.2487000799999999</v>
      </c>
      <c r="F81">
        <f t="shared" si="11"/>
        <v>1.02503134</v>
      </c>
      <c r="G81" s="1">
        <v>0.91366254999999996</v>
      </c>
      <c r="I81" s="1">
        <v>2.6166665600000001</v>
      </c>
      <c r="J81" s="1"/>
      <c r="L81">
        <f t="shared" si="12"/>
        <v>1.0543942509999999</v>
      </c>
      <c r="M81">
        <f t="shared" si="13"/>
        <v>4.1525426966954125E-2</v>
      </c>
      <c r="O81" s="1"/>
      <c r="U81" s="1"/>
      <c r="AG81" s="1"/>
      <c r="AK81" s="1"/>
      <c r="AL81" s="1"/>
      <c r="AQ81" s="8" t="s">
        <v>19</v>
      </c>
      <c r="AR81" s="8"/>
      <c r="AU81" s="1">
        <v>1.30833328</v>
      </c>
      <c r="AV81" s="1">
        <v>1.1755166100000001</v>
      </c>
      <c r="AX81" s="1">
        <v>1.30833328</v>
      </c>
      <c r="AY81" s="1">
        <v>1.17874134</v>
      </c>
    </row>
    <row r="82" spans="1:51" x14ac:dyDescent="0.2">
      <c r="A82">
        <v>2.6500000950000002</v>
      </c>
      <c r="B82">
        <v>1.122532487</v>
      </c>
      <c r="C82" s="1">
        <v>2.6500001000000002</v>
      </c>
      <c r="E82">
        <f>G82+$H$34</f>
        <v>1.27369672</v>
      </c>
      <c r="F82">
        <f t="shared" si="11"/>
        <v>1.0500279800000001</v>
      </c>
      <c r="G82" s="1">
        <v>0.93865918999999998</v>
      </c>
      <c r="I82" s="1">
        <v>2.6500001000000002</v>
      </c>
      <c r="J82" s="1"/>
      <c r="L82">
        <f t="shared" si="12"/>
        <v>1.0862802335000001</v>
      </c>
      <c r="M82">
        <f t="shared" si="13"/>
        <v>5.1268428566287418E-2</v>
      </c>
      <c r="O82" s="1"/>
      <c r="U82" s="1"/>
      <c r="AG82" s="1"/>
      <c r="AK82" s="1"/>
      <c r="AL82" s="1"/>
      <c r="AQ82" s="8" t="s">
        <v>18</v>
      </c>
      <c r="AR82" s="8"/>
      <c r="AU82" s="1">
        <v>1.3250000500000001</v>
      </c>
      <c r="AV82" s="1">
        <v>1.13781858</v>
      </c>
      <c r="AX82" s="1">
        <v>1.3250000500000001</v>
      </c>
      <c r="AY82" s="1">
        <v>1.1391543200000001</v>
      </c>
    </row>
    <row r="83" spans="1:51" x14ac:dyDescent="0.2">
      <c r="A83">
        <v>2.6833333970000002</v>
      </c>
      <c r="B83">
        <v>1.1194421050000001</v>
      </c>
      <c r="C83" s="1">
        <v>2.6833334</v>
      </c>
      <c r="E83">
        <f>G83+$H$34</f>
        <v>1.2854572499999999</v>
      </c>
      <c r="F83">
        <f t="shared" si="11"/>
        <v>1.06178851</v>
      </c>
      <c r="G83" s="1">
        <v>0.95041971999999997</v>
      </c>
      <c r="I83" s="1">
        <v>2.6833334</v>
      </c>
      <c r="J83" s="1"/>
      <c r="L83">
        <f t="shared" si="12"/>
        <v>1.0906153075</v>
      </c>
      <c r="M83">
        <f t="shared" si="13"/>
        <v>4.0767247984282912E-2</v>
      </c>
      <c r="O83" s="1"/>
      <c r="U83" s="1"/>
      <c r="AG83" s="1"/>
      <c r="AK83" s="1"/>
      <c r="AL83" s="1"/>
      <c r="AQ83" s="8" t="s">
        <v>17</v>
      </c>
      <c r="AR83" s="8"/>
      <c r="AU83" s="1">
        <v>1.3416667</v>
      </c>
      <c r="AV83" s="1">
        <v>1.1363444300000001</v>
      </c>
      <c r="AX83" s="1">
        <v>1.3416667</v>
      </c>
      <c r="AY83" s="1">
        <v>1.21388626</v>
      </c>
    </row>
    <row r="84" spans="1:51" x14ac:dyDescent="0.2">
      <c r="A84">
        <v>2.716666698</v>
      </c>
      <c r="B84">
        <v>1.127451658</v>
      </c>
      <c r="C84" s="1">
        <v>2.7166667000000002</v>
      </c>
      <c r="E84">
        <f>G84+$H$34</f>
        <v>1.31512278</v>
      </c>
      <c r="F84">
        <f t="shared" si="11"/>
        <v>1.0914540400000001</v>
      </c>
      <c r="G84" s="1">
        <v>0.98008525000000002</v>
      </c>
      <c r="I84" s="1">
        <v>2.7166667000000002</v>
      </c>
      <c r="J84" s="1"/>
      <c r="L84">
        <f t="shared" si="12"/>
        <v>1.1094528490000002</v>
      </c>
      <c r="M84">
        <f t="shared" si="13"/>
        <v>2.545415979436285E-2</v>
      </c>
      <c r="O84" s="1"/>
      <c r="U84" s="1"/>
      <c r="AG84" s="1"/>
      <c r="AK84" s="1"/>
      <c r="AL84" s="1"/>
      <c r="AQ84" s="8" t="s">
        <v>16</v>
      </c>
      <c r="AR84" s="8"/>
      <c r="AU84" s="1">
        <v>1.3583333500000001</v>
      </c>
      <c r="AV84" s="1">
        <v>1.13034725</v>
      </c>
      <c r="AX84" s="1">
        <v>1.3583333500000001</v>
      </c>
      <c r="AY84" s="1">
        <v>1.19114769</v>
      </c>
    </row>
    <row r="85" spans="1:51" x14ac:dyDescent="0.2">
      <c r="A85">
        <v>2.75</v>
      </c>
      <c r="B85">
        <v>1.1449522969999999</v>
      </c>
      <c r="C85" s="1">
        <v>2.75</v>
      </c>
      <c r="E85">
        <f>G85+$H$34</f>
        <v>1.33105731</v>
      </c>
      <c r="F85">
        <f t="shared" si="11"/>
        <v>1.1073885700000001</v>
      </c>
      <c r="G85" s="1">
        <v>0.99601978000000002</v>
      </c>
      <c r="I85" s="1">
        <v>2.75</v>
      </c>
      <c r="J85" s="1"/>
      <c r="L85">
        <f t="shared" si="12"/>
        <v>1.1261704335</v>
      </c>
      <c r="M85">
        <f t="shared" si="13"/>
        <v>2.6561566088340045E-2</v>
      </c>
      <c r="O85" s="1"/>
      <c r="U85" s="1"/>
      <c r="AG85" s="1"/>
      <c r="AK85" s="1"/>
      <c r="AL85" s="1"/>
      <c r="AQ85" s="8" t="s">
        <v>15</v>
      </c>
      <c r="AR85" s="8"/>
      <c r="AU85" s="1">
        <v>1.375</v>
      </c>
      <c r="AV85" s="1">
        <v>1.14227843</v>
      </c>
      <c r="AX85" s="1">
        <v>1.375</v>
      </c>
      <c r="AY85" s="1">
        <v>1.14290392</v>
      </c>
    </row>
    <row r="86" spans="1:51" x14ac:dyDescent="0.2">
      <c r="A86">
        <v>2.783333302</v>
      </c>
      <c r="B86">
        <v>1.153876305</v>
      </c>
      <c r="C86" s="1">
        <v>2.7833332999999998</v>
      </c>
      <c r="E86">
        <f>G86+$H$34</f>
        <v>1.3234466899999999</v>
      </c>
      <c r="F86">
        <f t="shared" si="11"/>
        <v>1.09977795</v>
      </c>
      <c r="G86" s="1">
        <v>0.98840916000000001</v>
      </c>
      <c r="I86" s="1">
        <v>2.7833332999999998</v>
      </c>
      <c r="J86" s="1"/>
      <c r="L86">
        <f t="shared" si="12"/>
        <v>1.1268271274999999</v>
      </c>
      <c r="M86">
        <f t="shared" si="13"/>
        <v>3.8253313671537198E-2</v>
      </c>
      <c r="O86" s="1"/>
      <c r="U86" s="1"/>
      <c r="AG86" s="1"/>
      <c r="AH86" s="1"/>
      <c r="AK86" s="1"/>
      <c r="AL86" s="1"/>
      <c r="AQ86" s="8" t="s">
        <v>14</v>
      </c>
      <c r="AR86" s="8" t="s">
        <v>13</v>
      </c>
      <c r="AU86" s="1">
        <v>1.3916666499999999</v>
      </c>
      <c r="AV86" s="1">
        <v>1.2177856</v>
      </c>
      <c r="AX86" s="1">
        <v>1.3916666499999999</v>
      </c>
      <c r="AY86" s="1">
        <v>1.16866136</v>
      </c>
    </row>
    <row r="87" spans="1:51" x14ac:dyDescent="0.2">
      <c r="A87">
        <v>2.8166666029999998</v>
      </c>
      <c r="B87">
        <v>1.1539350749999999</v>
      </c>
      <c r="C87" s="1">
        <v>2.8166666</v>
      </c>
      <c r="E87">
        <f>G87+$H$34</f>
        <v>1.3090096099999999</v>
      </c>
      <c r="F87">
        <f t="shared" si="11"/>
        <v>1.08534087</v>
      </c>
      <c r="G87" s="1">
        <v>0.97397208000000002</v>
      </c>
      <c r="I87" s="1">
        <v>2.8166666</v>
      </c>
      <c r="J87" s="1"/>
      <c r="L87">
        <f t="shared" si="12"/>
        <v>1.1196379725000001</v>
      </c>
      <c r="M87">
        <f t="shared" si="13"/>
        <v>4.8503427505600119E-2</v>
      </c>
      <c r="O87" s="1"/>
      <c r="U87" s="1"/>
      <c r="AG87" s="1"/>
      <c r="AH87" s="1"/>
      <c r="AK87" s="1"/>
      <c r="AL87" s="1"/>
      <c r="AQ87" s="8" t="s">
        <v>12</v>
      </c>
      <c r="AR87" s="8" t="s">
        <v>11</v>
      </c>
      <c r="AU87" s="1">
        <v>1.4083333</v>
      </c>
      <c r="AV87" s="1">
        <v>1.1751927099999999</v>
      </c>
      <c r="AX87" s="1">
        <v>1.4083333</v>
      </c>
      <c r="AY87" s="1">
        <v>1.18925309</v>
      </c>
    </row>
    <row r="88" spans="1:51" x14ac:dyDescent="0.2">
      <c r="A88">
        <v>2.8499999049999998</v>
      </c>
      <c r="B88">
        <v>1.1143573520000001</v>
      </c>
      <c r="C88" s="1">
        <v>2.8499999100000002</v>
      </c>
      <c r="E88">
        <f>G88+$H$34</f>
        <v>1.3572620799999999</v>
      </c>
      <c r="F88">
        <f t="shared" si="11"/>
        <v>1.13359334</v>
      </c>
      <c r="G88" s="1">
        <v>1.02222455</v>
      </c>
      <c r="I88" s="1">
        <v>2.8499999100000002</v>
      </c>
      <c r="J88" s="1"/>
      <c r="L88">
        <f t="shared" si="12"/>
        <v>1.1239753459999999</v>
      </c>
      <c r="M88">
        <f t="shared" si="13"/>
        <v>1.3601897557623002E-2</v>
      </c>
      <c r="O88" s="1"/>
      <c r="U88" s="1"/>
      <c r="AG88" s="1"/>
      <c r="AH88" s="1"/>
      <c r="AK88" s="1"/>
      <c r="AL88" s="1"/>
      <c r="AQ88" s="8" t="s">
        <v>10</v>
      </c>
      <c r="AR88" s="8" t="s">
        <v>8</v>
      </c>
      <c r="AU88" s="1">
        <v>1.4249999499999999</v>
      </c>
      <c r="AV88" s="1">
        <v>1.17775202</v>
      </c>
      <c r="AX88" s="1">
        <v>1.4249999499999999</v>
      </c>
      <c r="AY88" s="1">
        <v>1.22019243</v>
      </c>
    </row>
    <row r="89" spans="1:51" x14ac:dyDescent="0.2">
      <c r="A89">
        <v>2.8833332060000001</v>
      </c>
      <c r="B89">
        <v>1.1536328789999999</v>
      </c>
      <c r="C89" s="1">
        <v>2.88333321</v>
      </c>
      <c r="E89">
        <f>G89+$H$34</f>
        <v>1.3706280599999998</v>
      </c>
      <c r="F89">
        <f t="shared" si="11"/>
        <v>1.1469593199999999</v>
      </c>
      <c r="G89" s="1">
        <v>1.0355905299999999</v>
      </c>
      <c r="I89" s="1">
        <v>2.88333321</v>
      </c>
      <c r="J89" s="1"/>
      <c r="L89">
        <f t="shared" si="12"/>
        <v>1.1502960994999998</v>
      </c>
      <c r="M89">
        <f t="shared" si="13"/>
        <v>4.7189188235485114E-3</v>
      </c>
      <c r="O89" s="1"/>
      <c r="U89" s="1"/>
      <c r="AG89" s="1"/>
      <c r="AH89" s="1"/>
      <c r="AK89" s="1"/>
      <c r="AL89" s="1"/>
      <c r="AQ89" s="8" t="s">
        <v>9</v>
      </c>
      <c r="AR89" s="8" t="s">
        <v>8</v>
      </c>
      <c r="AU89" s="1">
        <v>1.4416666</v>
      </c>
      <c r="AV89" s="1">
        <v>1.13723946</v>
      </c>
      <c r="AX89" s="1">
        <v>1.4416666</v>
      </c>
      <c r="AY89" s="1">
        <v>1.2403444100000001</v>
      </c>
    </row>
    <row r="90" spans="1:51" x14ac:dyDescent="0.2">
      <c r="A90">
        <v>2.9166667460000002</v>
      </c>
      <c r="B90">
        <v>1.168594956</v>
      </c>
      <c r="C90" s="1">
        <v>2.9166667500000001</v>
      </c>
      <c r="E90">
        <f>G90+$H$34</f>
        <v>1.3840381499999999</v>
      </c>
      <c r="F90">
        <f t="shared" si="11"/>
        <v>1.1603694099999999</v>
      </c>
      <c r="G90" s="1">
        <v>1.0490006199999999</v>
      </c>
      <c r="I90" s="1">
        <v>2.9166667500000001</v>
      </c>
      <c r="J90" s="1"/>
      <c r="L90">
        <f t="shared" si="12"/>
        <v>1.1644821830000001</v>
      </c>
      <c r="M90">
        <f t="shared" si="13"/>
        <v>5.8163393555619005E-3</v>
      </c>
      <c r="O90" s="1"/>
      <c r="U90" s="1"/>
      <c r="AG90" s="1"/>
      <c r="AH90" s="1"/>
      <c r="AK90" s="1"/>
      <c r="AL90" s="1"/>
      <c r="AQ90" s="8" t="s">
        <v>7</v>
      </c>
      <c r="AR90" s="8" t="s">
        <v>5</v>
      </c>
      <c r="AU90" s="1">
        <v>1.4583333700000001</v>
      </c>
      <c r="AV90" s="1">
        <v>1.2056847799999999</v>
      </c>
      <c r="AX90" s="1">
        <v>1.4583333700000001</v>
      </c>
      <c r="AY90" s="1">
        <v>1.1638500700000001</v>
      </c>
    </row>
    <row r="91" spans="1:51" x14ac:dyDescent="0.2">
      <c r="A91">
        <v>2.9500000480000002</v>
      </c>
      <c r="B91">
        <v>1.1263777020000001</v>
      </c>
      <c r="C91" s="1">
        <v>2.9500000499999999</v>
      </c>
      <c r="E91">
        <f>G91+$H$34</f>
        <v>1.3368814599999999</v>
      </c>
      <c r="F91">
        <f t="shared" si="11"/>
        <v>1.1132127199999999</v>
      </c>
      <c r="G91" s="1">
        <v>1.0018439299999999</v>
      </c>
      <c r="I91" s="1">
        <v>2.9500000499999999</v>
      </c>
      <c r="J91" s="1"/>
      <c r="L91">
        <f t="shared" si="12"/>
        <v>1.119795211</v>
      </c>
      <c r="M91">
        <f t="shared" si="13"/>
        <v>9.3090480463989492E-3</v>
      </c>
      <c r="O91" s="1"/>
      <c r="U91" s="1"/>
      <c r="AG91" s="1"/>
      <c r="AH91" s="1"/>
      <c r="AK91" s="1"/>
      <c r="AL91" s="1"/>
      <c r="AQ91" s="8" t="s">
        <v>6</v>
      </c>
      <c r="AR91" s="8" t="s">
        <v>5</v>
      </c>
      <c r="AU91" s="1">
        <v>1.47500002</v>
      </c>
      <c r="AV91" s="1">
        <v>1.1549621800000001</v>
      </c>
      <c r="AX91" s="1">
        <v>1.47500002</v>
      </c>
      <c r="AY91" s="1">
        <v>1.2119433900000001</v>
      </c>
    </row>
    <row r="92" spans="1:51" x14ac:dyDescent="0.2">
      <c r="A92">
        <v>2.983333349</v>
      </c>
      <c r="B92">
        <v>1.229014158</v>
      </c>
      <c r="C92" s="1">
        <v>2.9833333500000001</v>
      </c>
      <c r="E92">
        <f>G92+$H$34</f>
        <v>1.2757162499999999</v>
      </c>
      <c r="F92">
        <f t="shared" si="11"/>
        <v>1.05204751</v>
      </c>
      <c r="G92" s="1">
        <v>0.94067871999999997</v>
      </c>
      <c r="I92" s="1">
        <v>2.9833333500000001</v>
      </c>
      <c r="J92" s="1"/>
      <c r="L92">
        <f t="shared" si="12"/>
        <v>1.140530834</v>
      </c>
      <c r="M92">
        <f t="shared" si="13"/>
        <v>0.12513431684465282</v>
      </c>
      <c r="O92" s="1"/>
      <c r="U92" s="1"/>
      <c r="AG92" s="1"/>
      <c r="AH92" s="1"/>
      <c r="AK92" s="1"/>
      <c r="AL92" s="1"/>
      <c r="AQ92" s="8" t="s">
        <v>4</v>
      </c>
      <c r="AR92" s="8" t="s">
        <v>2</v>
      </c>
      <c r="AU92" s="1">
        <v>1.49166668</v>
      </c>
      <c r="AV92" s="1">
        <v>1.1314189400000001</v>
      </c>
      <c r="AX92" s="1">
        <v>1.49166668</v>
      </c>
      <c r="AY92" s="1">
        <v>1.2312717399999999</v>
      </c>
    </row>
    <row r="93" spans="1:51" x14ac:dyDescent="0.2">
      <c r="A93">
        <v>3.016666651</v>
      </c>
      <c r="B93">
        <v>1.10976243</v>
      </c>
      <c r="C93" s="1"/>
      <c r="E93" s="1"/>
      <c r="I93" s="1">
        <v>3.0166666499999999</v>
      </c>
      <c r="J93" s="1"/>
      <c r="O93" s="1"/>
      <c r="U93" s="1"/>
      <c r="AG93" s="1"/>
      <c r="AH93" s="1"/>
      <c r="AK93" s="1"/>
      <c r="AL93" s="1"/>
      <c r="AQ93" s="8" t="s">
        <v>3</v>
      </c>
      <c r="AR93" s="8" t="s">
        <v>2</v>
      </c>
      <c r="AU93" s="1">
        <v>1.5083333299999999</v>
      </c>
      <c r="AV93" s="1">
        <v>1.1828950600000001</v>
      </c>
      <c r="AX93" s="1">
        <v>1.5083333299999999</v>
      </c>
      <c r="AY93" s="1">
        <v>1.21483338</v>
      </c>
    </row>
    <row r="94" spans="1:51" x14ac:dyDescent="0.2">
      <c r="A94">
        <v>3.0499999519999998</v>
      </c>
      <c r="B94">
        <v>1.2162452939999999</v>
      </c>
      <c r="C94" s="1" t="s">
        <v>32</v>
      </c>
      <c r="E94" s="1"/>
      <c r="I94" s="1">
        <v>3.0499999500000001</v>
      </c>
      <c r="J94" s="1">
        <v>1.0166608100000001</v>
      </c>
      <c r="O94" s="1"/>
      <c r="U94" s="1"/>
      <c r="AG94" s="1"/>
      <c r="AK94" s="1"/>
      <c r="AL94" s="1"/>
      <c r="AQ94" s="8" t="s">
        <v>73</v>
      </c>
      <c r="AR94" s="8"/>
      <c r="AU94" s="1">
        <v>1.52499998</v>
      </c>
      <c r="AV94" s="1">
        <v>1.11500347</v>
      </c>
      <c r="AX94" s="1">
        <v>1.52499998</v>
      </c>
      <c r="AY94" s="1">
        <v>1.2033134700000001</v>
      </c>
    </row>
    <row r="95" spans="1:51" x14ac:dyDescent="0.2">
      <c r="A95">
        <v>3.0833332539999998</v>
      </c>
      <c r="B95">
        <v>1.1982746120000001</v>
      </c>
      <c r="C95" s="1" t="s">
        <v>32</v>
      </c>
      <c r="E95" s="1"/>
      <c r="I95" s="1">
        <v>3.0833332499999999</v>
      </c>
      <c r="J95" s="1">
        <v>1.0471037599999999</v>
      </c>
      <c r="O95" s="1"/>
      <c r="U95" s="1"/>
      <c r="AG95" s="1"/>
      <c r="AK95" s="1"/>
      <c r="AL95" s="1"/>
      <c r="AQ95" s="8" t="s">
        <v>0</v>
      </c>
      <c r="AR95" s="8"/>
      <c r="AU95" s="1">
        <v>1.5416666299999999</v>
      </c>
      <c r="AV95" s="1">
        <v>1.1546678500000001</v>
      </c>
      <c r="AX95" s="1">
        <v>1.5416666299999999</v>
      </c>
      <c r="AY95" s="1">
        <v>1.2101652599999999</v>
      </c>
    </row>
    <row r="96" spans="1:51" x14ac:dyDescent="0.2">
      <c r="A96">
        <v>3.1166665550000001</v>
      </c>
      <c r="B96">
        <v>1.1945519449999999</v>
      </c>
      <c r="C96" s="1" t="s">
        <v>35</v>
      </c>
      <c r="I96" s="1">
        <v>3.1166665600000001</v>
      </c>
      <c r="J96" s="1">
        <v>1.0426934999999999</v>
      </c>
      <c r="U96" s="1"/>
      <c r="AK96" s="1"/>
      <c r="AL96" s="1"/>
      <c r="AU96" s="1">
        <v>1.55833328</v>
      </c>
      <c r="AV96" s="1">
        <v>1.1375323500000001</v>
      </c>
      <c r="AX96" s="1">
        <v>1.55833328</v>
      </c>
      <c r="AY96" s="1">
        <v>1.20179415</v>
      </c>
    </row>
    <row r="97" spans="1:51" x14ac:dyDescent="0.2">
      <c r="A97">
        <v>3.1500000950000002</v>
      </c>
      <c r="B97">
        <v>1.2290352579999999</v>
      </c>
      <c r="C97" s="1" t="s">
        <v>36</v>
      </c>
      <c r="E97" s="1"/>
      <c r="I97" s="1">
        <v>3.1500001000000002</v>
      </c>
      <c r="J97" s="1">
        <v>1.04786611</v>
      </c>
      <c r="U97" s="1"/>
      <c r="AK97" s="1"/>
      <c r="AL97" s="1"/>
      <c r="AU97" s="1">
        <v>1.5750000500000001</v>
      </c>
      <c r="AV97" s="1">
        <v>1.11593378</v>
      </c>
      <c r="AX97" s="1">
        <v>1.5750000500000001</v>
      </c>
      <c r="AY97" s="1">
        <v>1.2293276799999999</v>
      </c>
    </row>
    <row r="98" spans="1:51" x14ac:dyDescent="0.2">
      <c r="A98">
        <v>3.1833333970000002</v>
      </c>
      <c r="B98">
        <v>1.249493003</v>
      </c>
      <c r="C98" s="1" t="s">
        <v>29</v>
      </c>
      <c r="E98" s="1"/>
      <c r="I98" s="1">
        <v>3.1833334</v>
      </c>
      <c r="J98" s="1">
        <v>1.05036223</v>
      </c>
      <c r="U98" s="1"/>
      <c r="AK98" s="1"/>
      <c r="AL98" s="1"/>
      <c r="AU98" s="1">
        <v>1.5916667</v>
      </c>
      <c r="AV98" s="1">
        <v>1.1467485399999999</v>
      </c>
      <c r="AX98" s="1">
        <v>1.5916667</v>
      </c>
      <c r="AY98" s="1">
        <v>1.2076610299999999</v>
      </c>
    </row>
    <row r="99" spans="1:51" x14ac:dyDescent="0.2">
      <c r="A99">
        <v>3.216666698</v>
      </c>
      <c r="B99">
        <v>1.2672041650000001</v>
      </c>
      <c r="C99" s="1" t="s">
        <v>28</v>
      </c>
      <c r="E99" s="1"/>
      <c r="I99" s="1">
        <v>3.2166667000000002</v>
      </c>
      <c r="J99" s="1">
        <v>1.0663016999999999</v>
      </c>
      <c r="U99" s="1"/>
      <c r="AK99" s="1"/>
      <c r="AL99" s="1"/>
      <c r="AU99" s="1">
        <v>1.6083333500000001</v>
      </c>
      <c r="AV99" s="1">
        <v>1.2040196700000001</v>
      </c>
      <c r="AX99" s="1">
        <v>1.6083333500000001</v>
      </c>
      <c r="AY99" s="1">
        <v>1.2420624499999999</v>
      </c>
    </row>
    <row r="100" spans="1:51" x14ac:dyDescent="0.2">
      <c r="A100">
        <v>3.25</v>
      </c>
      <c r="B100">
        <v>1.2283577919999999</v>
      </c>
      <c r="C100" s="1" t="s">
        <v>37</v>
      </c>
      <c r="E100" s="1"/>
      <c r="I100" s="1">
        <v>3.25</v>
      </c>
      <c r="J100" s="1">
        <v>1.04501128</v>
      </c>
      <c r="U100" s="1"/>
      <c r="AK100" s="1"/>
      <c r="AL100" s="1"/>
      <c r="AU100" s="1">
        <v>1.625</v>
      </c>
      <c r="AV100" s="1">
        <v>1.16881061</v>
      </c>
      <c r="AX100" s="1">
        <v>1.625</v>
      </c>
      <c r="AY100" s="1">
        <v>1.22407603</v>
      </c>
    </row>
    <row r="101" spans="1:51" x14ac:dyDescent="0.2">
      <c r="A101">
        <v>3.283333302</v>
      </c>
      <c r="B101">
        <v>1.190644026</v>
      </c>
      <c r="C101" s="1" t="s">
        <v>38</v>
      </c>
      <c r="E101" s="1"/>
      <c r="I101" s="1">
        <v>3.2833332999999998</v>
      </c>
      <c r="J101" s="1">
        <v>1.0605167200000001</v>
      </c>
      <c r="U101" s="1"/>
      <c r="AK101" s="1"/>
      <c r="AL101" s="1"/>
      <c r="AU101" s="1">
        <v>1.6416666499999999</v>
      </c>
      <c r="AV101" s="1">
        <v>1.17173612</v>
      </c>
      <c r="AX101" s="1">
        <v>1.6416666499999999</v>
      </c>
      <c r="AY101" s="1">
        <v>1.19997954</v>
      </c>
    </row>
    <row r="102" spans="1:51" x14ac:dyDescent="0.2">
      <c r="A102">
        <v>3.3166666029999998</v>
      </c>
      <c r="B102">
        <v>1.263265133</v>
      </c>
      <c r="C102" s="1" t="s">
        <v>39</v>
      </c>
      <c r="E102" s="1"/>
      <c r="I102" s="1">
        <v>3.3166666</v>
      </c>
      <c r="J102" s="1">
        <v>1.0822479700000001</v>
      </c>
      <c r="U102" s="1"/>
      <c r="AK102" s="1"/>
      <c r="AU102" s="1">
        <v>1.6583333</v>
      </c>
      <c r="AV102" s="1">
        <v>1.1962136000000001</v>
      </c>
      <c r="AX102" s="1">
        <v>1.6583333</v>
      </c>
      <c r="AY102" s="1">
        <v>1.2401928900000001</v>
      </c>
    </row>
    <row r="103" spans="1:51" x14ac:dyDescent="0.2">
      <c r="A103">
        <v>3.3499999049999998</v>
      </c>
      <c r="B103">
        <v>1.2867937089999999</v>
      </c>
      <c r="C103" s="1" t="s">
        <v>40</v>
      </c>
      <c r="E103" s="1"/>
      <c r="I103" s="1">
        <v>3.3499999100000002</v>
      </c>
      <c r="J103" s="1">
        <v>1.09751642</v>
      </c>
      <c r="U103" s="1"/>
      <c r="AK103" s="1"/>
      <c r="AU103" s="1">
        <v>1.6749999499999999</v>
      </c>
      <c r="AV103" s="1">
        <v>1.19053447</v>
      </c>
      <c r="AX103" s="1">
        <v>1.6749999499999999</v>
      </c>
      <c r="AY103" s="1">
        <v>1.18552244</v>
      </c>
    </row>
    <row r="104" spans="1:51" x14ac:dyDescent="0.2">
      <c r="A104">
        <v>3.3833332060000001</v>
      </c>
      <c r="B104">
        <v>1.2403444050000001</v>
      </c>
      <c r="C104" s="1" t="s">
        <v>41</v>
      </c>
      <c r="E104" s="1"/>
      <c r="I104" s="1">
        <v>3.38333321</v>
      </c>
      <c r="J104" s="1">
        <v>1.0748695100000001</v>
      </c>
      <c r="U104" s="1"/>
      <c r="AK104" s="1"/>
      <c r="AU104" s="1">
        <v>1.6916666</v>
      </c>
      <c r="AV104" s="1">
        <v>1.21258259</v>
      </c>
      <c r="AX104" s="1">
        <v>1.6916666</v>
      </c>
      <c r="AY104" s="1">
        <v>1.1887303600000001</v>
      </c>
    </row>
    <row r="105" spans="1:51" x14ac:dyDescent="0.2">
      <c r="A105">
        <v>3.4166667460000002</v>
      </c>
      <c r="B105">
        <v>1.300611019</v>
      </c>
      <c r="C105" s="1" t="s">
        <v>42</v>
      </c>
      <c r="E105" s="1"/>
      <c r="I105" s="1">
        <v>3.4166667500000001</v>
      </c>
      <c r="J105" s="1">
        <v>1.06810999</v>
      </c>
      <c r="U105" s="1"/>
      <c r="AK105" s="1"/>
      <c r="AU105" s="1">
        <v>1.7083333700000001</v>
      </c>
      <c r="AV105" s="1">
        <v>1.17127991</v>
      </c>
      <c r="AX105" s="1">
        <v>1.7083333700000001</v>
      </c>
      <c r="AY105" s="1">
        <v>1.20830035</v>
      </c>
    </row>
    <row r="106" spans="1:51" x14ac:dyDescent="0.2">
      <c r="A106">
        <v>3.4500000480000002</v>
      </c>
      <c r="B106">
        <v>1.2793879509999999</v>
      </c>
      <c r="C106" s="1" t="s">
        <v>43</v>
      </c>
      <c r="E106" s="1"/>
      <c r="I106" s="1">
        <v>3.4500000499999999</v>
      </c>
      <c r="J106" s="1">
        <v>1.0845574099999999</v>
      </c>
      <c r="U106" s="1"/>
      <c r="AK106" s="1"/>
      <c r="AU106" s="1"/>
      <c r="AV106" s="1"/>
      <c r="AX106" s="1">
        <v>1.72500002</v>
      </c>
      <c r="AY106" s="1">
        <v>1.2192338700000001</v>
      </c>
    </row>
    <row r="107" spans="1:51" x14ac:dyDescent="0.2">
      <c r="C107" s="1" t="s">
        <v>44</v>
      </c>
      <c r="E107" s="1"/>
      <c r="I107" s="1">
        <v>3.4833333500000001</v>
      </c>
      <c r="J107" s="1">
        <v>1.1291961699999999</v>
      </c>
      <c r="U107" s="1"/>
      <c r="AK107" s="1"/>
      <c r="AU107" s="1" t="s">
        <v>32</v>
      </c>
      <c r="AV107" s="1"/>
      <c r="AX107" s="1">
        <v>1.74166668</v>
      </c>
      <c r="AY107" s="1">
        <v>1.17436385</v>
      </c>
    </row>
    <row r="108" spans="1:51" x14ac:dyDescent="0.2">
      <c r="A108" t="s">
        <v>32</v>
      </c>
      <c r="C108" s="1" t="s">
        <v>45</v>
      </c>
      <c r="I108" s="1">
        <v>3.5166666499999999</v>
      </c>
      <c r="J108" s="1">
        <v>1.1239931599999999</v>
      </c>
      <c r="U108" s="1"/>
      <c r="AK108" s="1"/>
      <c r="AU108" s="1" t="s">
        <v>32</v>
      </c>
      <c r="AV108" s="1"/>
      <c r="AX108" s="1">
        <v>1.7583333299999999</v>
      </c>
      <c r="AY108" s="1">
        <v>1.1914490499999999</v>
      </c>
    </row>
    <row r="109" spans="1:51" x14ac:dyDescent="0.2">
      <c r="A109" t="s">
        <v>32</v>
      </c>
      <c r="C109" s="1" t="s">
        <v>46</v>
      </c>
      <c r="E109" s="1"/>
      <c r="I109" s="1">
        <v>3.5499999500000001</v>
      </c>
      <c r="J109" s="1">
        <v>1.1068021100000001</v>
      </c>
      <c r="U109" s="1"/>
      <c r="AK109" s="1"/>
      <c r="AU109" s="1" t="s">
        <v>76</v>
      </c>
      <c r="AX109" s="1">
        <v>1.77499998</v>
      </c>
      <c r="AY109" s="1">
        <v>1.26929414</v>
      </c>
    </row>
    <row r="110" spans="1:51" x14ac:dyDescent="0.2">
      <c r="A110" t="s">
        <v>31</v>
      </c>
      <c r="C110" s="1" t="s">
        <v>47</v>
      </c>
      <c r="E110" s="1"/>
      <c r="I110" s="1">
        <v>3.5833332499999999</v>
      </c>
      <c r="J110" s="1">
        <v>1.13332319</v>
      </c>
      <c r="U110" s="1"/>
      <c r="AK110" s="1"/>
      <c r="AU110" s="1" t="s">
        <v>36</v>
      </c>
      <c r="AX110" s="1">
        <v>1.7916666299999999</v>
      </c>
      <c r="AY110" s="1">
        <v>1.2077444799999999</v>
      </c>
    </row>
    <row r="111" spans="1:51" x14ac:dyDescent="0.2">
      <c r="A111" t="s">
        <v>30</v>
      </c>
      <c r="C111" s="1" t="s">
        <v>16</v>
      </c>
      <c r="I111" s="1">
        <v>3.6166665600000001</v>
      </c>
      <c r="J111" s="1">
        <v>1.14453304</v>
      </c>
      <c r="U111" s="1"/>
      <c r="AK111" s="1"/>
      <c r="AU111" s="1" t="s">
        <v>29</v>
      </c>
      <c r="AX111" s="1">
        <v>1.80833328</v>
      </c>
      <c r="AY111" s="1">
        <v>1.2487620100000001</v>
      </c>
    </row>
    <row r="112" spans="1:51" x14ac:dyDescent="0.2">
      <c r="A112" t="s">
        <v>29</v>
      </c>
      <c r="C112" s="1" t="s">
        <v>15</v>
      </c>
      <c r="E112" s="1"/>
      <c r="I112" s="1">
        <v>3.6500001000000002</v>
      </c>
      <c r="J112" s="1">
        <v>1.1362865</v>
      </c>
      <c r="U112" s="1"/>
      <c r="AK112" s="1"/>
      <c r="AU112" s="1" t="s">
        <v>28</v>
      </c>
      <c r="AX112" s="1">
        <v>1.8250000500000001</v>
      </c>
      <c r="AY112" s="1">
        <v>1.23946917</v>
      </c>
    </row>
    <row r="113" spans="1:51" x14ac:dyDescent="0.2">
      <c r="A113" t="s">
        <v>28</v>
      </c>
      <c r="C113" s="1" t="s">
        <v>14</v>
      </c>
      <c r="E113" s="1" t="s">
        <v>48</v>
      </c>
      <c r="I113" s="1">
        <v>3.6833334</v>
      </c>
      <c r="J113" s="1">
        <v>1.1189990000000001</v>
      </c>
      <c r="O113" s="1" t="s">
        <v>49</v>
      </c>
      <c r="U113" s="1"/>
      <c r="AK113" s="1"/>
      <c r="AU113" s="1" t="s">
        <v>37</v>
      </c>
      <c r="AX113" s="1">
        <v>1.8416667</v>
      </c>
      <c r="AY113" s="1">
        <v>1.20964527</v>
      </c>
    </row>
    <row r="114" spans="1:51" x14ac:dyDescent="0.2">
      <c r="A114" t="s">
        <v>27</v>
      </c>
      <c r="C114" s="1" t="s">
        <v>12</v>
      </c>
      <c r="E114" s="1" t="s">
        <v>50</v>
      </c>
      <c r="I114" s="1">
        <v>3.7166667000000002</v>
      </c>
      <c r="J114" s="1">
        <v>1.14324892</v>
      </c>
      <c r="O114" s="1" t="s">
        <v>51</v>
      </c>
      <c r="U114" s="1"/>
      <c r="AK114" s="1"/>
      <c r="AU114" s="1" t="s">
        <v>38</v>
      </c>
      <c r="AX114" s="1">
        <v>1.8583333500000001</v>
      </c>
      <c r="AY114" s="1">
        <v>1.1877269699999999</v>
      </c>
    </row>
    <row r="115" spans="1:51" x14ac:dyDescent="0.2">
      <c r="A115" t="s">
        <v>26</v>
      </c>
      <c r="C115" s="1" t="s">
        <v>10</v>
      </c>
      <c r="E115" s="1" t="s">
        <v>52</v>
      </c>
      <c r="I115" s="1">
        <v>3.75</v>
      </c>
      <c r="J115" s="1">
        <v>1.16112554</v>
      </c>
      <c r="O115" s="1" t="s">
        <v>53</v>
      </c>
      <c r="U115" s="1"/>
      <c r="AK115" s="1"/>
      <c r="AU115" s="1" t="s">
        <v>39</v>
      </c>
      <c r="AX115" s="1">
        <v>1.875</v>
      </c>
      <c r="AY115" s="1">
        <v>1.2401120699999999</v>
      </c>
    </row>
    <row r="116" spans="1:51" x14ac:dyDescent="0.2">
      <c r="A116" t="s">
        <v>25</v>
      </c>
      <c r="C116" s="1" t="s">
        <v>9</v>
      </c>
      <c r="E116" s="1" t="s">
        <v>52</v>
      </c>
      <c r="I116" s="1">
        <v>3.7833332999999998</v>
      </c>
      <c r="J116" s="1">
        <v>1.1585757699999999</v>
      </c>
      <c r="O116" s="1" t="s">
        <v>53</v>
      </c>
      <c r="U116" s="1"/>
      <c r="AK116" s="1"/>
      <c r="AU116" s="1" t="s">
        <v>40</v>
      </c>
      <c r="AX116" s="1">
        <v>1.8916666499999999</v>
      </c>
      <c r="AY116" s="1">
        <v>1.25337696</v>
      </c>
    </row>
    <row r="117" spans="1:51" x14ac:dyDescent="0.2">
      <c r="A117" t="s">
        <v>24</v>
      </c>
      <c r="C117" s="1" t="s">
        <v>7</v>
      </c>
      <c r="E117" s="1" t="s">
        <v>54</v>
      </c>
      <c r="I117" s="1">
        <v>3.8166666</v>
      </c>
      <c r="J117" s="1">
        <v>1.12986922</v>
      </c>
      <c r="O117" s="1" t="s">
        <v>55</v>
      </c>
      <c r="U117" s="1"/>
      <c r="AK117" s="1"/>
      <c r="AU117" s="1" t="s">
        <v>77</v>
      </c>
      <c r="AX117" s="1">
        <v>1.9083333</v>
      </c>
      <c r="AY117" s="1">
        <v>1.24273181</v>
      </c>
    </row>
    <row r="118" spans="1:51" x14ac:dyDescent="0.2">
      <c r="A118" t="s">
        <v>23</v>
      </c>
      <c r="C118" s="1" t="s">
        <v>6</v>
      </c>
      <c r="E118" s="1" t="s">
        <v>54</v>
      </c>
      <c r="I118" s="1">
        <v>3.8499999100000002</v>
      </c>
      <c r="J118" s="1">
        <v>1.1941832299999999</v>
      </c>
      <c r="O118" s="1" t="s">
        <v>55</v>
      </c>
      <c r="U118" s="1"/>
      <c r="AK118" s="1"/>
      <c r="AU118" s="1" t="s">
        <v>42</v>
      </c>
      <c r="AX118" s="1">
        <v>1.9249999499999999</v>
      </c>
      <c r="AY118" s="1">
        <v>1.28800702</v>
      </c>
    </row>
    <row r="119" spans="1:51" x14ac:dyDescent="0.2">
      <c r="A119" t="s">
        <v>22</v>
      </c>
      <c r="C119" s="1" t="s">
        <v>4</v>
      </c>
      <c r="E119" s="1" t="s">
        <v>56</v>
      </c>
      <c r="I119" s="1">
        <v>3.88333321</v>
      </c>
      <c r="J119" s="1">
        <v>1.1711988499999999</v>
      </c>
      <c r="O119" s="1" t="s">
        <v>57</v>
      </c>
      <c r="U119" s="1"/>
      <c r="AK119" s="1"/>
      <c r="AL119" s="1"/>
      <c r="AU119" s="1" t="s">
        <v>78</v>
      </c>
      <c r="AX119" s="1">
        <v>1.9416666</v>
      </c>
      <c r="AY119" s="1">
        <v>1.2940846699999999</v>
      </c>
    </row>
    <row r="120" spans="1:51" x14ac:dyDescent="0.2">
      <c r="A120" t="s">
        <v>21</v>
      </c>
      <c r="C120" s="1" t="s">
        <v>3</v>
      </c>
      <c r="E120" s="1" t="s">
        <v>56</v>
      </c>
      <c r="I120" s="1">
        <v>3.9166667500000001</v>
      </c>
      <c r="J120" s="1">
        <v>1.17503476</v>
      </c>
      <c r="O120" s="1" t="s">
        <v>57</v>
      </c>
      <c r="U120" s="1"/>
      <c r="AK120" s="1"/>
      <c r="AL120" s="1"/>
      <c r="AU120" s="1" t="s">
        <v>44</v>
      </c>
      <c r="AX120" s="1">
        <v>1.9583333700000001</v>
      </c>
      <c r="AY120" s="1">
        <v>1.22860313</v>
      </c>
    </row>
    <row r="121" spans="1:51" x14ac:dyDescent="0.2">
      <c r="A121" t="s">
        <v>20</v>
      </c>
      <c r="C121" s="1" t="s">
        <v>58</v>
      </c>
      <c r="I121" s="1">
        <v>3.9500000499999999</v>
      </c>
      <c r="J121" s="1">
        <v>1.19360483</v>
      </c>
      <c r="U121" s="1"/>
      <c r="AK121" s="1"/>
      <c r="AL121" s="1"/>
      <c r="AU121" s="1" t="s">
        <v>45</v>
      </c>
      <c r="AX121" s="1">
        <v>1.97500002</v>
      </c>
      <c r="AY121" s="1">
        <v>1.25892699</v>
      </c>
    </row>
    <row r="122" spans="1:51" x14ac:dyDescent="0.2">
      <c r="A122" t="s">
        <v>19</v>
      </c>
      <c r="C122" s="1" t="s">
        <v>0</v>
      </c>
      <c r="E122" s="1"/>
      <c r="I122" s="1">
        <v>3.9833333500000001</v>
      </c>
      <c r="J122" s="1">
        <v>1.2318946099999999</v>
      </c>
      <c r="U122" s="1"/>
      <c r="AK122" s="1"/>
      <c r="AL122" s="1"/>
      <c r="AU122" s="1" t="s">
        <v>46</v>
      </c>
      <c r="AX122" s="1">
        <v>1.99166668</v>
      </c>
      <c r="AY122" s="1">
        <v>1.28255034</v>
      </c>
    </row>
    <row r="123" spans="1:51" x14ac:dyDescent="0.2">
      <c r="A123" t="s">
        <v>18</v>
      </c>
      <c r="I123" s="1">
        <v>4.0166668899999998</v>
      </c>
      <c r="J123" s="1">
        <v>1.2084899</v>
      </c>
      <c r="U123" s="1"/>
      <c r="AK123" s="1"/>
      <c r="AL123" s="1"/>
      <c r="AU123" s="1" t="s">
        <v>47</v>
      </c>
      <c r="AX123" s="1">
        <v>2.0083334499999999</v>
      </c>
      <c r="AY123" s="1">
        <v>1.2604181800000001</v>
      </c>
    </row>
    <row r="124" spans="1:51" x14ac:dyDescent="0.2">
      <c r="A124" t="s">
        <v>17</v>
      </c>
      <c r="I124" s="1">
        <v>4.0500001900000004</v>
      </c>
      <c r="J124" s="1">
        <v>1.18378592</v>
      </c>
      <c r="U124" s="1"/>
      <c r="AK124" s="1"/>
      <c r="AL124" s="1"/>
      <c r="AU124" s="1" t="s">
        <v>79</v>
      </c>
      <c r="AX124" s="1"/>
      <c r="AY124" s="1"/>
    </row>
    <row r="125" spans="1:51" x14ac:dyDescent="0.2">
      <c r="A125" t="s">
        <v>16</v>
      </c>
      <c r="I125" s="1">
        <v>4.0833334900000002</v>
      </c>
      <c r="J125" s="1">
        <v>1.14436245</v>
      </c>
      <c r="U125" s="1"/>
      <c r="AK125" s="1"/>
      <c r="AL125" s="1"/>
      <c r="AU125" s="1" t="s">
        <v>15</v>
      </c>
      <c r="AX125" s="1" t="s">
        <v>32</v>
      </c>
      <c r="AY125" s="1"/>
    </row>
    <row r="126" spans="1:51" x14ac:dyDescent="0.2">
      <c r="A126" t="s">
        <v>15</v>
      </c>
      <c r="I126" s="1">
        <v>4.11666679</v>
      </c>
      <c r="J126" s="1">
        <v>1.1689369700000001</v>
      </c>
      <c r="U126" s="1"/>
      <c r="AK126" s="1"/>
      <c r="AL126" s="1"/>
      <c r="AU126" s="1" t="s">
        <v>80</v>
      </c>
      <c r="AV126" s="1" t="s">
        <v>52</v>
      </c>
      <c r="AX126" s="1" t="s">
        <v>32</v>
      </c>
      <c r="AY126" s="1"/>
    </row>
    <row r="127" spans="1:51" x14ac:dyDescent="0.2">
      <c r="A127" t="s">
        <v>14</v>
      </c>
      <c r="B127" t="s">
        <v>13</v>
      </c>
      <c r="I127" s="1">
        <v>4.1500000999999997</v>
      </c>
      <c r="J127" s="1">
        <v>1.2007248399999999</v>
      </c>
      <c r="U127" s="1"/>
      <c r="AK127" s="1"/>
      <c r="AU127" s="1" t="s">
        <v>81</v>
      </c>
      <c r="AV127" s="1" t="s">
        <v>52</v>
      </c>
      <c r="AX127" s="1" t="s">
        <v>85</v>
      </c>
    </row>
    <row r="128" spans="1:51" x14ac:dyDescent="0.2">
      <c r="A128" t="s">
        <v>12</v>
      </c>
      <c r="B128" t="s">
        <v>11</v>
      </c>
      <c r="I128" s="1">
        <v>4.1833334000000004</v>
      </c>
      <c r="J128" s="1">
        <v>1.1734894499999999</v>
      </c>
      <c r="U128" s="1"/>
      <c r="AK128" s="1"/>
      <c r="AU128" s="1" t="s">
        <v>82</v>
      </c>
      <c r="AV128" s="1" t="s">
        <v>48</v>
      </c>
      <c r="AX128" s="1" t="s">
        <v>36</v>
      </c>
    </row>
    <row r="129" spans="1:51" x14ac:dyDescent="0.2">
      <c r="A129" t="s">
        <v>10</v>
      </c>
      <c r="B129" t="s">
        <v>8</v>
      </c>
      <c r="I129" s="1">
        <v>4.2166667000000002</v>
      </c>
      <c r="J129" s="1">
        <v>1.1460440199999999</v>
      </c>
      <c r="U129" s="1"/>
      <c r="AU129" s="1" t="s">
        <v>83</v>
      </c>
      <c r="AV129" s="1" t="s">
        <v>50</v>
      </c>
      <c r="AX129" s="1" t="s">
        <v>29</v>
      </c>
    </row>
    <row r="130" spans="1:51" x14ac:dyDescent="0.2">
      <c r="A130" t="s">
        <v>9</v>
      </c>
      <c r="B130" t="s">
        <v>8</v>
      </c>
      <c r="I130" s="1">
        <v>4.25</v>
      </c>
      <c r="J130" s="1">
        <v>1.1979780200000001</v>
      </c>
      <c r="U130" s="1"/>
      <c r="AU130" s="1" t="s">
        <v>84</v>
      </c>
      <c r="AX130" s="1" t="s">
        <v>28</v>
      </c>
    </row>
    <row r="131" spans="1:51" x14ac:dyDescent="0.2">
      <c r="A131" t="s">
        <v>7</v>
      </c>
      <c r="B131" t="s">
        <v>5</v>
      </c>
      <c r="I131" s="1">
        <v>4.2833337800000004</v>
      </c>
      <c r="J131" s="1">
        <v>1.15929544</v>
      </c>
      <c r="U131" s="1"/>
      <c r="AU131" s="1" t="s">
        <v>0</v>
      </c>
      <c r="AX131" s="1" t="s">
        <v>37</v>
      </c>
    </row>
    <row r="132" spans="1:51" x14ac:dyDescent="0.2">
      <c r="A132" t="s">
        <v>6</v>
      </c>
      <c r="B132" t="s">
        <v>5</v>
      </c>
      <c r="I132" s="1">
        <v>4.3166670800000002</v>
      </c>
      <c r="J132" s="1">
        <v>1.19611442</v>
      </c>
      <c r="U132" s="1"/>
      <c r="AX132" s="1" t="s">
        <v>38</v>
      </c>
    </row>
    <row r="133" spans="1:51" x14ac:dyDescent="0.2">
      <c r="A133" t="s">
        <v>4</v>
      </c>
      <c r="B133" t="s">
        <v>2</v>
      </c>
      <c r="I133" s="1">
        <v>4.35000038</v>
      </c>
      <c r="J133" s="1">
        <v>1.18555188</v>
      </c>
      <c r="U133" s="1"/>
      <c r="AX133" s="1" t="s">
        <v>39</v>
      </c>
    </row>
    <row r="134" spans="1:51" x14ac:dyDescent="0.2">
      <c r="A134" t="s">
        <v>3</v>
      </c>
      <c r="B134" t="s">
        <v>2</v>
      </c>
      <c r="I134" s="1">
        <v>4.3833336799999998</v>
      </c>
      <c r="J134" s="1">
        <v>1.1883108600000001</v>
      </c>
      <c r="U134" s="1"/>
      <c r="AX134" s="1" t="s">
        <v>40</v>
      </c>
    </row>
    <row r="135" spans="1:51" x14ac:dyDescent="0.2">
      <c r="A135" t="s">
        <v>1</v>
      </c>
      <c r="I135" s="1">
        <v>4.4166669900000004</v>
      </c>
      <c r="J135" s="1">
        <v>1.1909078399999999</v>
      </c>
      <c r="U135" s="1"/>
      <c r="AX135" s="1" t="s">
        <v>77</v>
      </c>
    </row>
    <row r="136" spans="1:51" x14ac:dyDescent="0.2">
      <c r="A136" t="s">
        <v>0</v>
      </c>
      <c r="I136" s="1">
        <v>4.4500002900000002</v>
      </c>
      <c r="J136" s="1">
        <v>1.20209682</v>
      </c>
      <c r="U136" s="1"/>
      <c r="AX136" s="1" t="s">
        <v>42</v>
      </c>
    </row>
    <row r="137" spans="1:51" x14ac:dyDescent="0.2">
      <c r="I137" s="1">
        <v>4.48333359</v>
      </c>
      <c r="J137" s="1">
        <v>1.1969103800000001</v>
      </c>
      <c r="U137" s="1"/>
      <c r="AX137" s="1" t="s">
        <v>78</v>
      </c>
    </row>
    <row r="138" spans="1:51" x14ac:dyDescent="0.2">
      <c r="I138" s="1">
        <v>4.5166668899999998</v>
      </c>
      <c r="J138" s="1">
        <v>1.1783828700000001</v>
      </c>
      <c r="U138" s="1"/>
      <c r="AX138" s="1" t="s">
        <v>44</v>
      </c>
    </row>
    <row r="139" spans="1:51" x14ac:dyDescent="0.2">
      <c r="I139" s="1">
        <v>4.5500001900000004</v>
      </c>
      <c r="J139" s="1">
        <v>1.19036746</v>
      </c>
      <c r="U139" s="1"/>
      <c r="AX139" s="1" t="s">
        <v>45</v>
      </c>
    </row>
    <row r="140" spans="1:51" x14ac:dyDescent="0.2">
      <c r="I140" s="1">
        <v>4.5833334900000002</v>
      </c>
      <c r="J140" s="1">
        <v>1.20545149</v>
      </c>
      <c r="U140" s="1"/>
      <c r="AX140" s="1" t="s">
        <v>46</v>
      </c>
    </row>
    <row r="141" spans="1:51" x14ac:dyDescent="0.2">
      <c r="I141" s="1">
        <v>4.61666679</v>
      </c>
      <c r="J141" s="1">
        <v>1.1898988500000001</v>
      </c>
      <c r="U141" s="1"/>
      <c r="AX141" s="1" t="s">
        <v>47</v>
      </c>
    </row>
    <row r="142" spans="1:51" x14ac:dyDescent="0.2">
      <c r="I142" s="1">
        <v>4.6500000999999997</v>
      </c>
      <c r="J142" s="1">
        <v>1.2529367199999999</v>
      </c>
      <c r="U142" s="1"/>
      <c r="AX142" s="1" t="s">
        <v>79</v>
      </c>
    </row>
    <row r="143" spans="1:51" x14ac:dyDescent="0.2">
      <c r="I143" s="1">
        <v>4.6833334000000004</v>
      </c>
      <c r="J143" s="1">
        <v>1.2710664300000001</v>
      </c>
      <c r="U143" s="1"/>
      <c r="AX143" s="1" t="s">
        <v>15</v>
      </c>
    </row>
    <row r="144" spans="1:51" x14ac:dyDescent="0.2">
      <c r="I144" s="1">
        <v>4.7166667000000002</v>
      </c>
      <c r="J144" s="1">
        <v>1.21565163</v>
      </c>
      <c r="U144" s="1"/>
      <c r="AX144" s="1" t="s">
        <v>80</v>
      </c>
      <c r="AY144" s="1" t="s">
        <v>52</v>
      </c>
    </row>
    <row r="145" spans="9:51" x14ac:dyDescent="0.2">
      <c r="I145" s="1">
        <v>4.75</v>
      </c>
      <c r="J145" s="1">
        <v>1.2263858299999999</v>
      </c>
      <c r="U145" s="1"/>
      <c r="AX145" s="1" t="s">
        <v>81</v>
      </c>
      <c r="AY145" s="1" t="s">
        <v>52</v>
      </c>
    </row>
    <row r="146" spans="9:51" x14ac:dyDescent="0.2">
      <c r="I146" s="1">
        <v>4.7833337800000004</v>
      </c>
      <c r="J146" s="1">
        <v>1.2837431399999999</v>
      </c>
      <c r="U146" s="1"/>
      <c r="AX146" s="1" t="s">
        <v>82</v>
      </c>
      <c r="AY146" s="1" t="s">
        <v>48</v>
      </c>
    </row>
    <row r="147" spans="9:51" x14ac:dyDescent="0.2">
      <c r="I147" s="1">
        <v>4.8166670800000002</v>
      </c>
      <c r="J147" s="1">
        <v>1.2478106</v>
      </c>
      <c r="U147" s="1"/>
      <c r="AX147" s="1" t="s">
        <v>83</v>
      </c>
      <c r="AY147" s="1" t="s">
        <v>50</v>
      </c>
    </row>
    <row r="148" spans="9:51" x14ac:dyDescent="0.2">
      <c r="I148" s="1">
        <v>4.85000038</v>
      </c>
      <c r="J148" s="1">
        <v>1.2908685200000001</v>
      </c>
      <c r="U148" s="1"/>
      <c r="AX148" s="1" t="s">
        <v>86</v>
      </c>
    </row>
    <row r="149" spans="9:51" x14ac:dyDescent="0.2">
      <c r="I149" s="1">
        <v>4.8833336799999998</v>
      </c>
      <c r="J149" s="1">
        <v>1.2053349</v>
      </c>
      <c r="U149" s="1"/>
      <c r="AX149" s="1" t="s">
        <v>0</v>
      </c>
    </row>
    <row r="150" spans="9:51" x14ac:dyDescent="0.2">
      <c r="I150" s="1">
        <v>4.9166669900000004</v>
      </c>
      <c r="J150" s="1">
        <v>1.2907499099999999</v>
      </c>
      <c r="U150" s="1"/>
      <c r="AX150" s="1" t="s">
        <v>61</v>
      </c>
      <c r="AY150" s="1">
        <v>245</v>
      </c>
    </row>
    <row r="151" spans="9:51" x14ac:dyDescent="0.2">
      <c r="I151" s="1">
        <v>4.9500002900000002</v>
      </c>
      <c r="J151" s="1">
        <v>1.2815705500000001</v>
      </c>
      <c r="U151" s="1"/>
      <c r="AX151" s="1" t="s">
        <v>62</v>
      </c>
      <c r="AY151" s="1">
        <v>1</v>
      </c>
    </row>
    <row r="152" spans="9:51" x14ac:dyDescent="0.2">
      <c r="I152" s="1">
        <v>4.98333359</v>
      </c>
      <c r="J152" s="1">
        <v>1.2450139499999999</v>
      </c>
      <c r="U152" s="1"/>
    </row>
    <row r="153" spans="9:51" x14ac:dyDescent="0.2">
      <c r="I153" s="1">
        <v>5.0166668899999998</v>
      </c>
      <c r="J153" s="1">
        <v>1.2734953200000001</v>
      </c>
      <c r="U153" s="1"/>
    </row>
    <row r="154" spans="9:51" x14ac:dyDescent="0.2">
      <c r="I154" s="1"/>
      <c r="J154" s="1"/>
      <c r="U154" s="1"/>
    </row>
    <row r="155" spans="9:51" x14ac:dyDescent="0.2">
      <c r="I155" s="1" t="s">
        <v>32</v>
      </c>
      <c r="J155" s="1"/>
      <c r="U155" s="1"/>
    </row>
    <row r="156" spans="9:51" x14ac:dyDescent="0.2">
      <c r="I156" s="1" t="s">
        <v>32</v>
      </c>
      <c r="J156" s="1"/>
      <c r="U156" s="1"/>
    </row>
    <row r="157" spans="9:51" x14ac:dyDescent="0.2">
      <c r="I157" s="1" t="s">
        <v>59</v>
      </c>
    </row>
    <row r="158" spans="9:51" x14ac:dyDescent="0.2">
      <c r="I158" s="1" t="s">
        <v>36</v>
      </c>
    </row>
    <row r="159" spans="9:51" x14ac:dyDescent="0.2">
      <c r="I159" s="1" t="s">
        <v>29</v>
      </c>
    </row>
    <row r="160" spans="9:51" x14ac:dyDescent="0.2">
      <c r="I160" s="1" t="s">
        <v>28</v>
      </c>
    </row>
    <row r="161" spans="9:21" x14ac:dyDescent="0.2">
      <c r="I161" s="1" t="s">
        <v>37</v>
      </c>
    </row>
    <row r="162" spans="9:21" x14ac:dyDescent="0.2">
      <c r="I162" s="1" t="s">
        <v>38</v>
      </c>
    </row>
    <row r="163" spans="9:21" x14ac:dyDescent="0.2">
      <c r="I163" s="1" t="s">
        <v>39</v>
      </c>
    </row>
    <row r="164" spans="9:21" x14ac:dyDescent="0.2">
      <c r="I164" s="1" t="s">
        <v>40</v>
      </c>
    </row>
    <row r="165" spans="9:21" x14ac:dyDescent="0.2">
      <c r="I165" s="1" t="s">
        <v>41</v>
      </c>
    </row>
    <row r="166" spans="9:21" x14ac:dyDescent="0.2">
      <c r="I166" s="1" t="s">
        <v>42</v>
      </c>
    </row>
    <row r="167" spans="9:21" x14ac:dyDescent="0.2">
      <c r="I167" s="1" t="s">
        <v>43</v>
      </c>
    </row>
    <row r="168" spans="9:21" x14ac:dyDescent="0.2">
      <c r="I168" s="1" t="s">
        <v>44</v>
      </c>
    </row>
    <row r="169" spans="9:21" x14ac:dyDescent="0.2">
      <c r="I169" s="1" t="s">
        <v>45</v>
      </c>
    </row>
    <row r="170" spans="9:21" x14ac:dyDescent="0.2">
      <c r="I170" s="1" t="s">
        <v>46</v>
      </c>
    </row>
    <row r="171" spans="9:21" x14ac:dyDescent="0.2">
      <c r="I171" s="1" t="s">
        <v>47</v>
      </c>
    </row>
    <row r="172" spans="9:21" x14ac:dyDescent="0.2">
      <c r="I172" s="1" t="s">
        <v>16</v>
      </c>
    </row>
    <row r="173" spans="9:21" x14ac:dyDescent="0.2">
      <c r="I173" s="1" t="s">
        <v>15</v>
      </c>
    </row>
    <row r="174" spans="9:21" x14ac:dyDescent="0.2">
      <c r="I174" s="1" t="s">
        <v>14</v>
      </c>
      <c r="J174" s="1" t="s">
        <v>48</v>
      </c>
      <c r="U174" s="1" t="s">
        <v>49</v>
      </c>
    </row>
    <row r="175" spans="9:21" x14ac:dyDescent="0.2">
      <c r="I175" s="1" t="s">
        <v>12</v>
      </c>
      <c r="J175" s="1" t="s">
        <v>50</v>
      </c>
      <c r="U175" s="1" t="s">
        <v>51</v>
      </c>
    </row>
    <row r="176" spans="9:21" x14ac:dyDescent="0.2">
      <c r="I176" s="1" t="s">
        <v>10</v>
      </c>
      <c r="J176" s="1" t="s">
        <v>52</v>
      </c>
      <c r="U176" s="1" t="s">
        <v>53</v>
      </c>
    </row>
    <row r="177" spans="9:21" x14ac:dyDescent="0.2">
      <c r="I177" s="1" t="s">
        <v>9</v>
      </c>
      <c r="J177" s="1" t="s">
        <v>52</v>
      </c>
      <c r="U177" s="1" t="s">
        <v>53</v>
      </c>
    </row>
    <row r="178" spans="9:21" x14ac:dyDescent="0.2">
      <c r="I178" s="1" t="s">
        <v>7</v>
      </c>
      <c r="J178" s="1" t="s">
        <v>54</v>
      </c>
      <c r="U178" s="1" t="s">
        <v>55</v>
      </c>
    </row>
    <row r="179" spans="9:21" x14ac:dyDescent="0.2">
      <c r="I179" s="1" t="s">
        <v>6</v>
      </c>
      <c r="J179" s="1" t="s">
        <v>54</v>
      </c>
      <c r="U179" s="1" t="s">
        <v>55</v>
      </c>
    </row>
    <row r="180" spans="9:21" x14ac:dyDescent="0.2">
      <c r="I180" s="1" t="s">
        <v>4</v>
      </c>
      <c r="J180" s="1" t="s">
        <v>56</v>
      </c>
      <c r="U180" s="1" t="s">
        <v>57</v>
      </c>
    </row>
    <row r="181" spans="9:21" x14ac:dyDescent="0.2">
      <c r="I181" s="1" t="s">
        <v>3</v>
      </c>
      <c r="J181" s="1" t="s">
        <v>56</v>
      </c>
      <c r="U181" s="1" t="s">
        <v>57</v>
      </c>
    </row>
    <row r="182" spans="9:21" x14ac:dyDescent="0.2">
      <c r="I182" s="1" t="s">
        <v>60</v>
      </c>
    </row>
    <row r="183" spans="9:21" x14ac:dyDescent="0.2">
      <c r="I183" s="1" t="s">
        <v>0</v>
      </c>
    </row>
    <row r="184" spans="9:21" x14ac:dyDescent="0.2">
      <c r="I184" s="1" t="s">
        <v>61</v>
      </c>
      <c r="J184" s="1">
        <v>245</v>
      </c>
      <c r="U184" s="1"/>
    </row>
    <row r="185" spans="9:21" x14ac:dyDescent="0.2">
      <c r="I185" s="1" t="s">
        <v>62</v>
      </c>
      <c r="J185" s="1">
        <v>1</v>
      </c>
      <c r="U18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9611-4FFE-5A4C-9056-70448ADA2A51}">
  <dimension ref="A1"/>
  <sheetViews>
    <sheetView workbookViewId="0">
      <selection sqref="A1:B1048576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BatchFlow_free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glebo nabovoj</dc:creator>
  <cp:lastModifiedBy>glebo nabovoj</cp:lastModifiedBy>
  <dcterms:created xsi:type="dcterms:W3CDTF">2025-06-04T13:24:05Z</dcterms:created>
  <dcterms:modified xsi:type="dcterms:W3CDTF">2025-06-04T15:34:37Z</dcterms:modified>
</cp:coreProperties>
</file>